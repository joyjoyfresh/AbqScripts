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8800" windowHeight="12255" tabRatio="600" firstSheet="0" activeTab="0" autoFilterDateGrouping="1"/>
  </bookViews>
  <sheets>
    <sheet xmlns:r="http://schemas.openxmlformats.org/officeDocument/2006/relationships" name="工况总表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00"/>
  </numFmts>
  <fonts count="23">
    <font>
      <name val="Carlito"/>
      <charset val="134"/>
      <sz val="11"/>
    </font>
    <font>
      <name val="Carlito"/>
      <charset val="134"/>
      <b val="1"/>
      <color rgb="FFFFFFFF"/>
      <sz val="11"/>
    </font>
    <font>
      <name val="宋体"/>
      <charset val="134"/>
      <sz val="11"/>
    </font>
    <font>
      <name val="Calibri"/>
      <charset val="134"/>
      <color theme="1"/>
      <sz val="11"/>
      <scheme val="minor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</fonts>
  <fills count="34">
    <fill>
      <patternFill/>
    </fill>
    <fill>
      <patternFill patternType="gray125"/>
    </fill>
    <fill>
      <patternFill patternType="solid">
        <fgColor rgb="FF4472C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3" fillId="0" borderId="0" applyAlignment="1">
      <alignment vertical="center"/>
    </xf>
    <xf numFmtId="43" fontId="3" fillId="0" borderId="0" applyAlignment="1">
      <alignment vertical="center"/>
    </xf>
    <xf numFmtId="44" fontId="3" fillId="0" borderId="0" applyAlignment="1">
      <alignment vertical="center"/>
    </xf>
    <xf numFmtId="9" fontId="3" fillId="0" borderId="0" applyAlignment="1">
      <alignment vertical="center"/>
    </xf>
    <xf numFmtId="41" fontId="3" fillId="0" borderId="0" applyAlignment="1">
      <alignment vertical="center"/>
    </xf>
    <xf numFmtId="42" fontId="3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3" fillId="3" borderId="2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8" fillId="0" borderId="0" applyAlignment="1">
      <alignment vertical="center"/>
    </xf>
    <xf numFmtId="0" fontId="9" fillId="0" borderId="3" applyAlignment="1">
      <alignment vertical="center"/>
    </xf>
    <xf numFmtId="0" fontId="10" fillId="0" borderId="3" applyAlignment="1">
      <alignment vertical="center"/>
    </xf>
    <xf numFmtId="0" fontId="11" fillId="0" borderId="4" applyAlignment="1">
      <alignment vertical="center"/>
    </xf>
    <xf numFmtId="0" fontId="11" fillId="0" borderId="0" applyAlignment="1">
      <alignment vertical="center"/>
    </xf>
    <xf numFmtId="0" fontId="12" fillId="4" borderId="5" applyAlignment="1">
      <alignment vertical="center"/>
    </xf>
    <xf numFmtId="0" fontId="13" fillId="5" borderId="6" applyAlignment="1">
      <alignment vertical="center"/>
    </xf>
    <xf numFmtId="0" fontId="14" fillId="5" borderId="5" applyAlignment="1">
      <alignment vertical="center"/>
    </xf>
    <xf numFmtId="0" fontId="15" fillId="6" borderId="7" applyAlignment="1">
      <alignment vertical="center"/>
    </xf>
    <xf numFmtId="0" fontId="16" fillId="0" borderId="8" applyAlignment="1">
      <alignment vertical="center"/>
    </xf>
    <xf numFmtId="0" fontId="17" fillId="0" borderId="9" applyAlignment="1">
      <alignment vertical="center"/>
    </xf>
    <xf numFmtId="0" fontId="18" fillId="7" borderId="0" applyAlignment="1">
      <alignment vertical="center"/>
    </xf>
    <xf numFmtId="0" fontId="19" fillId="8" borderId="0" applyAlignment="1">
      <alignment vertical="center"/>
    </xf>
    <xf numFmtId="0" fontId="20" fillId="9" borderId="0" applyAlignment="1">
      <alignment vertical="center"/>
    </xf>
    <xf numFmtId="0" fontId="21" fillId="10" borderId="0" applyAlignment="1">
      <alignment vertical="center"/>
    </xf>
    <xf numFmtId="0" fontId="22" fillId="11" borderId="0" applyAlignment="1">
      <alignment vertical="center"/>
    </xf>
    <xf numFmtId="0" fontId="22" fillId="12" borderId="0" applyAlignment="1">
      <alignment vertical="center"/>
    </xf>
    <xf numFmtId="0" fontId="21" fillId="13" borderId="0" applyAlignment="1">
      <alignment vertical="center"/>
    </xf>
    <xf numFmtId="0" fontId="21" fillId="14" borderId="0" applyAlignment="1">
      <alignment vertical="center"/>
    </xf>
    <xf numFmtId="0" fontId="22" fillId="15" borderId="0" applyAlignment="1">
      <alignment vertical="center"/>
    </xf>
    <xf numFmtId="0" fontId="22" fillId="16" borderId="0" applyAlignment="1">
      <alignment vertical="center"/>
    </xf>
    <xf numFmtId="0" fontId="21" fillId="17" borderId="0" applyAlignment="1">
      <alignment vertical="center"/>
    </xf>
    <xf numFmtId="0" fontId="21" fillId="18" borderId="0" applyAlignment="1">
      <alignment vertical="center"/>
    </xf>
    <xf numFmtId="0" fontId="22" fillId="19" borderId="0" applyAlignment="1">
      <alignment vertical="center"/>
    </xf>
    <xf numFmtId="0" fontId="22" fillId="20" borderId="0" applyAlignment="1">
      <alignment vertical="center"/>
    </xf>
    <xf numFmtId="0" fontId="21" fillId="21" borderId="0" applyAlignment="1">
      <alignment vertical="center"/>
    </xf>
    <xf numFmtId="0" fontId="21" fillId="22" borderId="0" applyAlignment="1">
      <alignment vertical="center"/>
    </xf>
    <xf numFmtId="0" fontId="22" fillId="23" borderId="0" applyAlignment="1">
      <alignment vertical="center"/>
    </xf>
    <xf numFmtId="0" fontId="22" fillId="24" borderId="0" applyAlignment="1">
      <alignment vertical="center"/>
    </xf>
    <xf numFmtId="0" fontId="21" fillId="25" borderId="0" applyAlignment="1">
      <alignment vertical="center"/>
    </xf>
    <xf numFmtId="0" fontId="21" fillId="26" borderId="0" applyAlignment="1">
      <alignment vertical="center"/>
    </xf>
    <xf numFmtId="0" fontId="22" fillId="27" borderId="0" applyAlignment="1">
      <alignment vertical="center"/>
    </xf>
    <xf numFmtId="0" fontId="22" fillId="28" borderId="0" applyAlignment="1">
      <alignment vertical="center"/>
    </xf>
    <xf numFmtId="0" fontId="21" fillId="29" borderId="0" applyAlignment="1">
      <alignment vertical="center"/>
    </xf>
    <xf numFmtId="0" fontId="21" fillId="30" borderId="0" applyAlignment="1">
      <alignment vertical="center"/>
    </xf>
    <xf numFmtId="0" fontId="22" fillId="31" borderId="0" applyAlignment="1">
      <alignment vertical="center"/>
    </xf>
    <xf numFmtId="0" fontId="22" fillId="32" borderId="0" applyAlignment="1">
      <alignment vertical="center"/>
    </xf>
    <xf numFmtId="0" fontId="21" fillId="33" borderId="0" applyAlignment="1">
      <alignment vertical="center"/>
    </xf>
    <xf numFmtId="0" fontId="0" fillId="0" borderId="0"/>
  </cellStyleXfs>
  <cellXfs count="11">
    <xf numFmtId="0" fontId="0" fillId="0" borderId="0" pivotButton="0" quotePrefix="0" xfId="49"/>
    <xf numFmtId="0" fontId="1" fillId="2" borderId="0" applyAlignment="1" pivotButton="0" quotePrefix="0" xfId="49">
      <alignment horizontal="center" vertical="center" wrapText="1"/>
    </xf>
    <xf numFmtId="0" fontId="0" fillId="0" borderId="1" applyAlignment="1" pivotButton="0" quotePrefix="0" xfId="49">
      <alignment horizontal="left" vertical="center"/>
    </xf>
    <xf numFmtId="0" fontId="2" fillId="0" borderId="1" applyAlignment="1" pivotButton="0" quotePrefix="0" xfId="49">
      <alignment horizontal="left" vertical="center"/>
    </xf>
    <xf numFmtId="164" fontId="0" fillId="0" borderId="1" applyAlignment="1" pivotButton="0" quotePrefix="0" xfId="49">
      <alignment horizontal="center" vertical="center"/>
    </xf>
    <xf numFmtId="1" fontId="0" fillId="0" borderId="1" applyAlignment="1" pivotButton="0" quotePrefix="0" xfId="49">
      <alignment horizontal="center" vertical="center"/>
    </xf>
    <xf numFmtId="2" fontId="0" fillId="0" borderId="1" applyAlignment="1" pivotButton="0" quotePrefix="0" xfId="49">
      <alignment horizontal="center" vertical="center"/>
    </xf>
    <xf numFmtId="165" fontId="0" fillId="0" borderId="1" applyAlignment="1" pivotButton="0" quotePrefix="0" xfId="49">
      <alignment horizontal="center" vertical="center"/>
    </xf>
    <xf numFmtId="0" fontId="0" fillId="0" borderId="0" pivotButton="0" quotePrefix="0" xfId="0"/>
    <xf numFmtId="164" fontId="0" fillId="0" borderId="1" applyAlignment="1" pivotButton="0" quotePrefix="0" xfId="49">
      <alignment horizontal="center" vertical="center"/>
    </xf>
    <xf numFmtId="165" fontId="0" fillId="0" borderId="1" applyAlignment="1" pivotButton="0" quotePrefix="0" xfId="49">
      <alignment horizontal="center" vertical="center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Normal" xfId="49"/>
  </cellStyles>
  <dxfs count="25">
    <dxf>
      <numFmt numFmtId="176" formatCode="0.0"/>
    </dxf>
    <dxf>
      <numFmt numFmtId="176" formatCode="0.0"/>
    </dxf>
    <dxf>
      <numFmt numFmtId="1" formatCode="0"/>
    </dxf>
    <dxf>
      <numFmt numFmtId="1" formatCode="0"/>
    </dxf>
    <dxf>
      <numFmt numFmtId="1" formatCode="0"/>
    </dxf>
    <dxf>
      <numFmt numFmtId="2" formatCode="0.00"/>
    </dxf>
    <dxf>
      <numFmt numFmtId="1" formatCode="0"/>
    </dxf>
    <dxf>
      <numFmt numFmtId="2" formatCode="0.00"/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14"/>
      <tableStyleElement type="headerRow" dxfId="13"/>
      <tableStyleElement type="totalRow" dxfId="12"/>
      <tableStyleElement type="firstColumn" dxfId="11"/>
      <tableStyleElement type="lastColumn" dxfId="10"/>
      <tableStyleElement type="firstRowStripe" dxfId="9"/>
      <tableStyleElement type="firstColumnStripe" dxfId="8"/>
    </tableStyle>
    <tableStyle name="PivotStylePreset2_Accent1" table="0" count="10">
      <tableStyleElement type="headerRow" dxfId="24"/>
      <tableStyleElement type="totalRow" dxfId="23"/>
      <tableStyleElement type="firstRowStripe" dxfId="22"/>
      <tableStyleElement type="firstColumnStripe" dxfId="21"/>
      <tableStyleElement type="firstSubtotalRow" dxfId="20"/>
      <tableStyleElement type="secondSubtotalRow" dxfId="19"/>
      <tableStyleElement type="firstRowSubheading" dxfId="18"/>
      <tableStyleElement type="secondRowSubheading" dxfId="17"/>
      <tableStyleElement type="pageFieldLabels" dxfId="16"/>
      <tableStyleElement type="pageFieldValues" dxfId="15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AllCasesTable" displayName="AllCasesTable" ref="A1:P91" headerRowCount="1" totalsRowShown="0">
  <autoFilter ref="A1:P91"/>
  <tableColumns count="16">
    <tableColumn id="3" name="工况ID"/>
    <tableColumn id="20" name="参数化ID"/>
    <tableColumn id="5" name="工况用途"/>
    <tableColumn id="2" name="输入记录"/>
    <tableColumn id="7" name="SV入射角 (°)" dataDxfId="0"/>
    <tableColumn id="9" name="坡角 i (°)" dataDxfId="1"/>
    <tableColumn id="1" name="坡高 h (m)" dataDxfId="2"/>
    <tableColumn id="11" name="覆盖层厚度 d (m)" dataDxfId="3"/>
    <tableColumn id="12" name="厚度比 d/h"/>
    <tableColumn id="13" name="覆盖层 Vs (m/s)"/>
    <tableColumn id="14" name="基岩 Vs (m/s)"/>
    <tableColumn id="15" name="波速比 rv"/>
    <tableColumn id="16" name="覆盖层密度 (kg/m³)" dataDxfId="4"/>
    <tableColumn id="17" name="覆盖层泊松比" dataDxfId="5"/>
    <tableColumn id="19" name="基岩密度 (kg/m³)" dataDxfId="6"/>
    <tableColumn id="6" name="基岩泊松比" dataDxfId="7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91"/>
  <sheetViews>
    <sheetView showGridLines="0" tabSelected="1" workbookViewId="0">
      <selection activeCell="Q6" sqref="Q6"/>
    </sheetView>
  </sheetViews>
  <sheetFormatPr baseColWidth="8" defaultColWidth="9" defaultRowHeight="15"/>
  <cols>
    <col width="7.625" customWidth="1" style="8" min="1" max="1"/>
    <col width="20" customWidth="1" style="8" min="2" max="2"/>
    <col width="16.875" customWidth="1" style="8" min="3" max="3"/>
    <col width="11.25" customWidth="1" style="8" min="4" max="4"/>
    <col width="9.375" customWidth="1" style="8" min="5" max="5"/>
  </cols>
  <sheetData>
    <row r="1" ht="44" customHeight="1" s="8">
      <c r="A1" s="1" t="inlineStr">
        <is>
          <t>工况ID</t>
        </is>
      </c>
      <c r="B1" s="1" t="inlineStr">
        <is>
          <t>参数化ID</t>
        </is>
      </c>
      <c r="C1" s="1" t="inlineStr">
        <is>
          <t>工况用途</t>
        </is>
      </c>
      <c r="D1" s="1" t="inlineStr">
        <is>
          <t>输入记录</t>
        </is>
      </c>
      <c r="E1" s="1" t="inlineStr">
        <is>
          <t>SV入射角 (°)</t>
        </is>
      </c>
      <c r="F1" s="1" t="inlineStr">
        <is>
          <t>坡角 i (°)</t>
        </is>
      </c>
      <c r="G1" s="1" t="inlineStr">
        <is>
          <t>坡高 h (m)</t>
        </is>
      </c>
      <c r="H1" s="1" t="inlineStr">
        <is>
          <t>覆盖层厚度 d (m)</t>
        </is>
      </c>
      <c r="I1" s="1" t="inlineStr">
        <is>
          <t>厚度比 d/h</t>
        </is>
      </c>
      <c r="J1" s="1" t="inlineStr">
        <is>
          <t>覆盖层 Vs (m/s)</t>
        </is>
      </c>
      <c r="K1" s="1" t="inlineStr">
        <is>
          <t>基岩 Vs (m/s)</t>
        </is>
      </c>
      <c r="L1" s="1" t="inlineStr">
        <is>
          <t>波速比 rv</t>
        </is>
      </c>
      <c r="M1" s="1" t="inlineStr">
        <is>
          <t>覆盖层密度 (kg/m³)</t>
        </is>
      </c>
      <c r="N1" s="1" t="inlineStr">
        <is>
          <t>覆盖层泊松比</t>
        </is>
      </c>
      <c r="O1" s="1" t="inlineStr">
        <is>
          <t>基岩密度 (kg/m³)</t>
        </is>
      </c>
      <c r="P1" s="1" t="inlineStr">
        <is>
          <t>基岩泊松比</t>
        </is>
      </c>
    </row>
    <row r="2" ht="22" customHeight="1" s="8">
      <c r="A2" s="2" t="inlineStr">
        <is>
          <t>H001</t>
        </is>
      </c>
      <c r="B2" s="2" t="inlineStr">
        <is>
          <t>H-i15h100a15</t>
        </is>
      </c>
      <c r="C2" s="2" t="inlineStr">
        <is>
          <t>均质基岩坡基准</t>
        </is>
      </c>
      <c r="D2" s="3" t="inlineStr">
        <is>
          <t>宽频正弦波</t>
        </is>
      </c>
      <c r="E2" s="9" t="n">
        <v>15</v>
      </c>
      <c r="F2" s="9" t="n">
        <v>15</v>
      </c>
      <c r="G2" s="5" t="n">
        <v>100</v>
      </c>
      <c r="H2" s="5" t="n"/>
      <c r="I2" s="6">
        <f>IF(H2="","",H2/G2)</f>
        <v/>
      </c>
      <c r="J2" s="5" t="n"/>
      <c r="K2" s="5" t="n">
        <v>2000</v>
      </c>
      <c r="L2" s="10">
        <f>IF(J2="","",J2/K2)</f>
        <v/>
      </c>
      <c r="M2" s="5" t="n"/>
      <c r="N2" s="6" t="n"/>
      <c r="O2" s="5" t="n">
        <v>2500</v>
      </c>
      <c r="P2" s="6" t="n">
        <v>0.3</v>
      </c>
    </row>
    <row r="3" ht="22" customHeight="1" s="8">
      <c r="A3" s="2" t="inlineStr">
        <is>
          <t>H002</t>
        </is>
      </c>
      <c r="B3" s="2" t="inlineStr">
        <is>
          <t>H-i30h100a15</t>
        </is>
      </c>
      <c r="C3" s="2" t="inlineStr">
        <is>
          <t>均质基岩坡基准</t>
        </is>
      </c>
      <c r="D3" s="3" t="inlineStr">
        <is>
          <t>宽频正弦波</t>
        </is>
      </c>
      <c r="E3" s="9" t="n">
        <v>15</v>
      </c>
      <c r="F3" s="9" t="n">
        <v>30</v>
      </c>
      <c r="G3" s="5" t="n">
        <v>100</v>
      </c>
      <c r="H3" s="5" t="n"/>
      <c r="I3" s="6">
        <f>IF(H3="","",H3/G3)</f>
        <v/>
      </c>
      <c r="J3" s="5" t="n"/>
      <c r="K3" s="5" t="n">
        <v>2000</v>
      </c>
      <c r="L3" s="10">
        <f>IF(J3="","",J3/K3)</f>
        <v/>
      </c>
      <c r="M3" s="5" t="n"/>
      <c r="N3" s="6" t="n"/>
      <c r="O3" s="5" t="n">
        <v>2500</v>
      </c>
      <c r="P3" s="6" t="n">
        <v>0.3</v>
      </c>
    </row>
    <row r="4" ht="22" customHeight="1" s="8">
      <c r="A4" s="2" t="inlineStr">
        <is>
          <t>H003</t>
        </is>
      </c>
      <c r="B4" s="2" t="inlineStr">
        <is>
          <t>H-i45h100a15</t>
        </is>
      </c>
      <c r="C4" s="2" t="inlineStr">
        <is>
          <t>均质基岩坡基准</t>
        </is>
      </c>
      <c r="D4" s="3" t="inlineStr">
        <is>
          <t>宽频正弦波</t>
        </is>
      </c>
      <c r="E4" s="9" t="n">
        <v>15</v>
      </c>
      <c r="F4" s="9" t="n">
        <v>45</v>
      </c>
      <c r="G4" s="5" t="n">
        <v>100</v>
      </c>
      <c r="H4" s="5" t="n"/>
      <c r="I4" s="6">
        <f>IF(H4="","",H4/G4)</f>
        <v/>
      </c>
      <c r="J4" s="5" t="n"/>
      <c r="K4" s="5" t="n">
        <v>2000</v>
      </c>
      <c r="L4" s="10">
        <f>IF(J4="","",J4/K4)</f>
        <v/>
      </c>
      <c r="M4" s="5" t="n"/>
      <c r="N4" s="6" t="n"/>
      <c r="O4" s="5" t="n">
        <v>2500</v>
      </c>
      <c r="P4" s="6" t="n">
        <v>0.3</v>
      </c>
    </row>
    <row r="5" ht="22" customHeight="1" s="8">
      <c r="A5" s="2" t="inlineStr">
        <is>
          <t>H004</t>
        </is>
      </c>
      <c r="B5" s="2" t="inlineStr">
        <is>
          <t>H-i60h100a15</t>
        </is>
      </c>
      <c r="C5" s="2" t="inlineStr">
        <is>
          <t>均质基岩坡基准</t>
        </is>
      </c>
      <c r="D5" s="3" t="inlineStr">
        <is>
          <t>宽频正弦波</t>
        </is>
      </c>
      <c r="E5" s="9" t="n">
        <v>15</v>
      </c>
      <c r="F5" s="9" t="n">
        <v>60</v>
      </c>
      <c r="G5" s="5" t="n">
        <v>100</v>
      </c>
      <c r="H5" s="5" t="n"/>
      <c r="I5" s="6">
        <f>IF(H5="","",H5/G5)</f>
        <v/>
      </c>
      <c r="J5" s="5" t="n"/>
      <c r="K5" s="5" t="n">
        <v>2000</v>
      </c>
      <c r="L5" s="10">
        <f>IF(J5="","",J5/K5)</f>
        <v/>
      </c>
      <c r="M5" s="5" t="n"/>
      <c r="N5" s="6" t="n"/>
      <c r="O5" s="5" t="n">
        <v>2500</v>
      </c>
      <c r="P5" s="6" t="n">
        <v>0.3</v>
      </c>
    </row>
    <row r="6" ht="22" customHeight="1" s="8">
      <c r="A6" s="2" t="inlineStr">
        <is>
          <t>P001</t>
        </is>
      </c>
      <c r="B6" s="2" t="inlineStr">
        <is>
          <t>L-i15d0.2s0.3</t>
        </is>
      </c>
      <c r="C6" s="3" t="inlineStr">
        <is>
          <t>三参数全因子分析</t>
        </is>
      </c>
      <c r="D6" s="3" t="inlineStr">
        <is>
          <t>宽频正弦波</t>
        </is>
      </c>
      <c r="E6" s="9" t="n">
        <v>15</v>
      </c>
      <c r="F6" s="9" t="n">
        <v>15</v>
      </c>
      <c r="G6" s="5" t="n">
        <v>100</v>
      </c>
      <c r="H6" s="5" t="n">
        <v>20</v>
      </c>
      <c r="I6" s="6">
        <f>IF(H6="","",H6/G6)</f>
        <v/>
      </c>
      <c r="J6" s="5" t="n">
        <v>600</v>
      </c>
      <c r="K6" s="5" t="n">
        <v>2000</v>
      </c>
      <c r="L6" s="10">
        <f>IF(J6="","",J6/K6)</f>
        <v/>
      </c>
      <c r="M6" s="5" t="n">
        <v>2125</v>
      </c>
      <c r="N6" s="6" t="n">
        <v>0.35</v>
      </c>
      <c r="O6" s="5" t="n">
        <v>2500</v>
      </c>
      <c r="P6" s="6" t="n">
        <v>0.3</v>
      </c>
    </row>
    <row r="7" ht="22" customHeight="1" s="8">
      <c r="A7" s="2" t="inlineStr">
        <is>
          <t>P002</t>
        </is>
      </c>
      <c r="B7" s="2" t="inlineStr">
        <is>
          <t>L-i15d0.2s0.45</t>
        </is>
      </c>
      <c r="C7" s="3" t="inlineStr">
        <is>
          <t>三参数全因子分析</t>
        </is>
      </c>
      <c r="D7" s="3" t="inlineStr">
        <is>
          <t>宽频正弦波</t>
        </is>
      </c>
      <c r="E7" s="9" t="n">
        <v>15</v>
      </c>
      <c r="F7" s="9" t="n">
        <v>15</v>
      </c>
      <c r="G7" s="5" t="n">
        <v>100</v>
      </c>
      <c r="H7" s="5" t="n">
        <v>20</v>
      </c>
      <c r="I7" s="6">
        <f>IF(H7="","",H7/G7)</f>
        <v/>
      </c>
      <c r="J7" s="5" t="n">
        <v>900</v>
      </c>
      <c r="K7" s="5" t="n">
        <v>2000</v>
      </c>
      <c r="L7" s="10">
        <f>IF(J7="","",J7/K7)</f>
        <v/>
      </c>
      <c r="M7" s="5" t="n">
        <v>2125</v>
      </c>
      <c r="N7" s="6" t="n">
        <v>0.35</v>
      </c>
      <c r="O7" s="5" t="n">
        <v>2500</v>
      </c>
      <c r="P7" s="6" t="n">
        <v>0.3</v>
      </c>
    </row>
    <row r="8" ht="22" customHeight="1" s="8">
      <c r="A8" s="2" t="inlineStr">
        <is>
          <t>P003</t>
        </is>
      </c>
      <c r="B8" s="2" t="inlineStr">
        <is>
          <t>L-i15d0.2s0.6</t>
        </is>
      </c>
      <c r="C8" s="3" t="inlineStr">
        <is>
          <t>三参数全因子分析</t>
        </is>
      </c>
      <c r="D8" s="3" t="inlineStr">
        <is>
          <t>宽频正弦波</t>
        </is>
      </c>
      <c r="E8" s="9" t="n">
        <v>15</v>
      </c>
      <c r="F8" s="9" t="n">
        <v>15</v>
      </c>
      <c r="G8" s="5" t="n">
        <v>100</v>
      </c>
      <c r="H8" s="5" t="n">
        <v>20</v>
      </c>
      <c r="I8" s="6">
        <f>IF(H8="","",H8/G8)</f>
        <v/>
      </c>
      <c r="J8" s="5" t="n">
        <v>1200</v>
      </c>
      <c r="K8" s="5" t="n">
        <v>2000</v>
      </c>
      <c r="L8" s="10">
        <f>IF(J8="","",J8/K8)</f>
        <v/>
      </c>
      <c r="M8" s="5" t="n">
        <v>2125</v>
      </c>
      <c r="N8" s="6" t="n">
        <v>0.35</v>
      </c>
      <c r="O8" s="5" t="n">
        <v>2500</v>
      </c>
      <c r="P8" s="6" t="n">
        <v>0.3</v>
      </c>
    </row>
    <row r="9" ht="22" customHeight="1" s="8">
      <c r="A9" s="2" t="inlineStr">
        <is>
          <t>P004</t>
        </is>
      </c>
      <c r="B9" s="2" t="inlineStr">
        <is>
          <t>L-i15d0.2s0.75</t>
        </is>
      </c>
      <c r="C9" s="3" t="inlineStr">
        <is>
          <t>三参数全因子分析</t>
        </is>
      </c>
      <c r="D9" s="3" t="inlineStr">
        <is>
          <t>宽频正弦波</t>
        </is>
      </c>
      <c r="E9" s="9" t="n">
        <v>15</v>
      </c>
      <c r="F9" s="9" t="n">
        <v>15</v>
      </c>
      <c r="G9" s="5" t="n">
        <v>100</v>
      </c>
      <c r="H9" s="5" t="n">
        <v>20</v>
      </c>
      <c r="I9" s="6">
        <f>IF(H9="","",H9/G9)</f>
        <v/>
      </c>
      <c r="J9" s="5" t="n">
        <v>1500</v>
      </c>
      <c r="K9" s="5" t="n">
        <v>2000</v>
      </c>
      <c r="L9" s="10">
        <f>IF(J9="","",J9/K9)</f>
        <v/>
      </c>
      <c r="M9" s="5" t="n">
        <v>2125</v>
      </c>
      <c r="N9" s="6" t="n">
        <v>0.35</v>
      </c>
      <c r="O9" s="5" t="n">
        <v>2500</v>
      </c>
      <c r="P9" s="6" t="n">
        <v>0.3</v>
      </c>
    </row>
    <row r="10" ht="22" customHeight="1" s="8">
      <c r="A10" s="2" t="inlineStr">
        <is>
          <t>P005</t>
        </is>
      </c>
      <c r="B10" s="2" t="inlineStr">
        <is>
          <t>L-i15d0.6s0.3</t>
        </is>
      </c>
      <c r="C10" s="3" t="inlineStr">
        <is>
          <t>三参数全因子分析</t>
        </is>
      </c>
      <c r="D10" s="3" t="inlineStr">
        <is>
          <t>宽频正弦波</t>
        </is>
      </c>
      <c r="E10" s="9" t="n">
        <v>15</v>
      </c>
      <c r="F10" s="9" t="n">
        <v>15</v>
      </c>
      <c r="G10" s="5" t="n">
        <v>100</v>
      </c>
      <c r="H10" s="5" t="n">
        <v>60</v>
      </c>
      <c r="I10" s="6">
        <f>IF(H10="","",H10/G10)</f>
        <v/>
      </c>
      <c r="J10" s="5" t="n">
        <v>600</v>
      </c>
      <c r="K10" s="5" t="n">
        <v>2000</v>
      </c>
      <c r="L10" s="10">
        <f>IF(J10="","",J10/K10)</f>
        <v/>
      </c>
      <c r="M10" s="5" t="n">
        <v>2125</v>
      </c>
      <c r="N10" s="6" t="n">
        <v>0.35</v>
      </c>
      <c r="O10" s="5" t="n">
        <v>2500</v>
      </c>
      <c r="P10" s="6" t="n">
        <v>0.3</v>
      </c>
    </row>
    <row r="11" ht="22" customHeight="1" s="8">
      <c r="A11" s="2" t="inlineStr">
        <is>
          <t>P006</t>
        </is>
      </c>
      <c r="B11" s="2" t="inlineStr">
        <is>
          <t>L-i15d0.6s0.45</t>
        </is>
      </c>
      <c r="C11" s="3" t="inlineStr">
        <is>
          <t>三参数全因子分析</t>
        </is>
      </c>
      <c r="D11" s="3" t="inlineStr">
        <is>
          <t>宽频正弦波</t>
        </is>
      </c>
      <c r="E11" s="9" t="n">
        <v>15</v>
      </c>
      <c r="F11" s="9" t="n">
        <v>15</v>
      </c>
      <c r="G11" s="5" t="n">
        <v>100</v>
      </c>
      <c r="H11" s="5" t="n">
        <v>60</v>
      </c>
      <c r="I11" s="6">
        <f>IF(H11="","",H11/G11)</f>
        <v/>
      </c>
      <c r="J11" s="5" t="n">
        <v>900</v>
      </c>
      <c r="K11" s="5" t="n">
        <v>2000</v>
      </c>
      <c r="L11" s="10">
        <f>IF(J11="","",J11/K11)</f>
        <v/>
      </c>
      <c r="M11" s="5" t="n">
        <v>2125</v>
      </c>
      <c r="N11" s="6" t="n">
        <v>0.35</v>
      </c>
      <c r="O11" s="5" t="n">
        <v>2500</v>
      </c>
      <c r="P11" s="6" t="n">
        <v>0.3</v>
      </c>
    </row>
    <row r="12" ht="22" customHeight="1" s="8">
      <c r="A12" s="2" t="inlineStr">
        <is>
          <t>P007</t>
        </is>
      </c>
      <c r="B12" s="2" t="inlineStr">
        <is>
          <t>L-i15d0.6s0.6</t>
        </is>
      </c>
      <c r="C12" s="3" t="inlineStr">
        <is>
          <t>三参数全因子分析</t>
        </is>
      </c>
      <c r="D12" s="3" t="inlineStr">
        <is>
          <t>宽频正弦波</t>
        </is>
      </c>
      <c r="E12" s="9" t="n">
        <v>15</v>
      </c>
      <c r="F12" s="9" t="n">
        <v>15</v>
      </c>
      <c r="G12" s="5" t="n">
        <v>100</v>
      </c>
      <c r="H12" s="5" t="n">
        <v>60</v>
      </c>
      <c r="I12" s="6">
        <f>IF(H12="","",H12/G12)</f>
        <v/>
      </c>
      <c r="J12" s="5" t="n">
        <v>1200</v>
      </c>
      <c r="K12" s="5" t="n">
        <v>2000</v>
      </c>
      <c r="L12" s="10">
        <f>IF(J12="","",J12/K12)</f>
        <v/>
      </c>
      <c r="M12" s="5" t="n">
        <v>2125</v>
      </c>
      <c r="N12" s="6" t="n">
        <v>0.35</v>
      </c>
      <c r="O12" s="5" t="n">
        <v>2500</v>
      </c>
      <c r="P12" s="6" t="n">
        <v>0.3</v>
      </c>
    </row>
    <row r="13" ht="22" customHeight="1" s="8">
      <c r="A13" s="2" t="inlineStr">
        <is>
          <t>P008</t>
        </is>
      </c>
      <c r="B13" s="2" t="inlineStr">
        <is>
          <t>L-i15d0.6s0.75</t>
        </is>
      </c>
      <c r="C13" s="3" t="inlineStr">
        <is>
          <t>三参数全因子分析</t>
        </is>
      </c>
      <c r="D13" s="3" t="inlineStr">
        <is>
          <t>宽频正弦波</t>
        </is>
      </c>
      <c r="E13" s="9" t="n">
        <v>15</v>
      </c>
      <c r="F13" s="9" t="n">
        <v>15</v>
      </c>
      <c r="G13" s="5" t="n">
        <v>100</v>
      </c>
      <c r="H13" s="5" t="n">
        <v>60</v>
      </c>
      <c r="I13" s="6">
        <f>IF(H13="","",H13/G13)</f>
        <v/>
      </c>
      <c r="J13" s="5" t="n">
        <v>1500</v>
      </c>
      <c r="K13" s="5" t="n">
        <v>2000</v>
      </c>
      <c r="L13" s="10">
        <f>IF(J13="","",J13/K13)</f>
        <v/>
      </c>
      <c r="M13" s="5" t="n">
        <v>2125</v>
      </c>
      <c r="N13" s="6" t="n">
        <v>0.35</v>
      </c>
      <c r="O13" s="5" t="n">
        <v>2500</v>
      </c>
      <c r="P13" s="6" t="n">
        <v>0.3</v>
      </c>
    </row>
    <row r="14" ht="22" customHeight="1" s="8">
      <c r="A14" s="2" t="inlineStr">
        <is>
          <t>P009</t>
        </is>
      </c>
      <c r="B14" s="2" t="inlineStr">
        <is>
          <t>L-i15d1s0.3</t>
        </is>
      </c>
      <c r="C14" s="3" t="inlineStr">
        <is>
          <t>三参数全因子分析</t>
        </is>
      </c>
      <c r="D14" s="3" t="inlineStr">
        <is>
          <t>宽频正弦波</t>
        </is>
      </c>
      <c r="E14" s="9" t="n">
        <v>15</v>
      </c>
      <c r="F14" s="9" t="n">
        <v>15</v>
      </c>
      <c r="G14" s="5" t="n">
        <v>100</v>
      </c>
      <c r="H14" s="5" t="n">
        <v>100</v>
      </c>
      <c r="I14" s="6">
        <f>IF(H14="","",H14/G14)</f>
        <v/>
      </c>
      <c r="J14" s="5" t="n">
        <v>600</v>
      </c>
      <c r="K14" s="5" t="n">
        <v>2000</v>
      </c>
      <c r="L14" s="10">
        <f>IF(J14="","",J14/K14)</f>
        <v/>
      </c>
      <c r="M14" s="5" t="n">
        <v>2125</v>
      </c>
      <c r="N14" s="6" t="n">
        <v>0.35</v>
      </c>
      <c r="O14" s="5" t="n">
        <v>2500</v>
      </c>
      <c r="P14" s="6" t="n">
        <v>0.3</v>
      </c>
    </row>
    <row r="15" ht="22" customHeight="1" s="8">
      <c r="A15" s="2" t="inlineStr">
        <is>
          <t>P010</t>
        </is>
      </c>
      <c r="B15" s="2" t="inlineStr">
        <is>
          <t>L-i15d1s0.45</t>
        </is>
      </c>
      <c r="C15" s="3" t="inlineStr">
        <is>
          <t>三参数全因子分析</t>
        </is>
      </c>
      <c r="D15" s="3" t="inlineStr">
        <is>
          <t>宽频正弦波</t>
        </is>
      </c>
      <c r="E15" s="9" t="n">
        <v>15</v>
      </c>
      <c r="F15" s="9" t="n">
        <v>15</v>
      </c>
      <c r="G15" s="5" t="n">
        <v>100</v>
      </c>
      <c r="H15" s="5" t="n">
        <v>100</v>
      </c>
      <c r="I15" s="6">
        <f>IF(H15="","",H15/G15)</f>
        <v/>
      </c>
      <c r="J15" s="5" t="n">
        <v>900</v>
      </c>
      <c r="K15" s="5" t="n">
        <v>2000</v>
      </c>
      <c r="L15" s="10">
        <f>IF(J15="","",J15/K15)</f>
        <v/>
      </c>
      <c r="M15" s="5" t="n">
        <v>2125</v>
      </c>
      <c r="N15" s="6" t="n">
        <v>0.35</v>
      </c>
      <c r="O15" s="5" t="n">
        <v>2500</v>
      </c>
      <c r="P15" s="6" t="n">
        <v>0.3</v>
      </c>
    </row>
    <row r="16" ht="22" customHeight="1" s="8">
      <c r="A16" s="2" t="inlineStr">
        <is>
          <t>P011</t>
        </is>
      </c>
      <c r="B16" s="2" t="inlineStr">
        <is>
          <t>L-i15d1s0.6</t>
        </is>
      </c>
      <c r="C16" s="3" t="inlineStr">
        <is>
          <t>三参数全因子分析</t>
        </is>
      </c>
      <c r="D16" s="3" t="inlineStr">
        <is>
          <t>宽频正弦波</t>
        </is>
      </c>
      <c r="E16" s="9" t="n">
        <v>15</v>
      </c>
      <c r="F16" s="9" t="n">
        <v>15</v>
      </c>
      <c r="G16" s="5" t="n">
        <v>100</v>
      </c>
      <c r="H16" s="5" t="n">
        <v>100</v>
      </c>
      <c r="I16" s="6">
        <f>IF(H16="","",H16/G16)</f>
        <v/>
      </c>
      <c r="J16" s="5" t="n">
        <v>1200</v>
      </c>
      <c r="K16" s="5" t="n">
        <v>2000</v>
      </c>
      <c r="L16" s="10">
        <f>IF(J16="","",J16/K16)</f>
        <v/>
      </c>
      <c r="M16" s="5" t="n">
        <v>2125</v>
      </c>
      <c r="N16" s="6" t="n">
        <v>0.35</v>
      </c>
      <c r="O16" s="5" t="n">
        <v>2500</v>
      </c>
      <c r="P16" s="6" t="n">
        <v>0.3</v>
      </c>
    </row>
    <row r="17" ht="22" customHeight="1" s="8">
      <c r="A17" s="2" t="inlineStr">
        <is>
          <t>P012</t>
        </is>
      </c>
      <c r="B17" s="2" t="inlineStr">
        <is>
          <t>L-i15d1s0.75</t>
        </is>
      </c>
      <c r="C17" s="3" t="inlineStr">
        <is>
          <t>三参数全因子分析</t>
        </is>
      </c>
      <c r="D17" s="3" t="inlineStr">
        <is>
          <t>宽频正弦波</t>
        </is>
      </c>
      <c r="E17" s="9" t="n">
        <v>15</v>
      </c>
      <c r="F17" s="9" t="n">
        <v>15</v>
      </c>
      <c r="G17" s="5" t="n">
        <v>100</v>
      </c>
      <c r="H17" s="5" t="n">
        <v>100</v>
      </c>
      <c r="I17" s="6">
        <f>IF(H17="","",H17/G17)</f>
        <v/>
      </c>
      <c r="J17" s="5" t="n">
        <v>1500</v>
      </c>
      <c r="K17" s="5" t="n">
        <v>2000</v>
      </c>
      <c r="L17" s="10">
        <f>IF(J17="","",J17/K17)</f>
        <v/>
      </c>
      <c r="M17" s="5" t="n">
        <v>2125</v>
      </c>
      <c r="N17" s="6" t="n">
        <v>0.35</v>
      </c>
      <c r="O17" s="5" t="n">
        <v>2500</v>
      </c>
      <c r="P17" s="6" t="n">
        <v>0.3</v>
      </c>
    </row>
    <row r="18" ht="22" customHeight="1" s="8">
      <c r="A18" s="2" t="inlineStr">
        <is>
          <t>P013</t>
        </is>
      </c>
      <c r="B18" s="2" t="inlineStr">
        <is>
          <t>L-i15d1.4s0.3</t>
        </is>
      </c>
      <c r="C18" s="3" t="inlineStr">
        <is>
          <t>三参数全因子分析</t>
        </is>
      </c>
      <c r="D18" s="3" t="inlineStr">
        <is>
          <t>宽频正弦波</t>
        </is>
      </c>
      <c r="E18" s="9" t="n">
        <v>15</v>
      </c>
      <c r="F18" s="9" t="n">
        <v>15</v>
      </c>
      <c r="G18" s="5" t="n">
        <v>100</v>
      </c>
      <c r="H18" s="5" t="n">
        <v>140</v>
      </c>
      <c r="I18" s="6">
        <f>IF(H18="","",H18/G18)</f>
        <v/>
      </c>
      <c r="J18" s="5" t="n">
        <v>600</v>
      </c>
      <c r="K18" s="5" t="n">
        <v>2000</v>
      </c>
      <c r="L18" s="10">
        <f>IF(J18="","",J18/K18)</f>
        <v/>
      </c>
      <c r="M18" s="5" t="n">
        <v>2125</v>
      </c>
      <c r="N18" s="6" t="n">
        <v>0.35</v>
      </c>
      <c r="O18" s="5" t="n">
        <v>2500</v>
      </c>
      <c r="P18" s="6" t="n">
        <v>0.3</v>
      </c>
    </row>
    <row r="19" ht="22" customHeight="1" s="8">
      <c r="A19" s="2" t="inlineStr">
        <is>
          <t>P014</t>
        </is>
      </c>
      <c r="B19" s="2" t="inlineStr">
        <is>
          <t>L-i15d1.4s0.45</t>
        </is>
      </c>
      <c r="C19" s="3" t="inlineStr">
        <is>
          <t>三参数全因子分析</t>
        </is>
      </c>
      <c r="D19" s="3" t="inlineStr">
        <is>
          <t>宽频正弦波</t>
        </is>
      </c>
      <c r="E19" s="9" t="n">
        <v>15</v>
      </c>
      <c r="F19" s="9" t="n">
        <v>15</v>
      </c>
      <c r="G19" s="5" t="n">
        <v>100</v>
      </c>
      <c r="H19" s="5" t="n">
        <v>140</v>
      </c>
      <c r="I19" s="6">
        <f>IF(H19="","",H19/G19)</f>
        <v/>
      </c>
      <c r="J19" s="5" t="n">
        <v>900</v>
      </c>
      <c r="K19" s="5" t="n">
        <v>2000</v>
      </c>
      <c r="L19" s="10">
        <f>IF(J19="","",J19/K19)</f>
        <v/>
      </c>
      <c r="M19" s="5" t="n">
        <v>2125</v>
      </c>
      <c r="N19" s="6" t="n">
        <v>0.35</v>
      </c>
      <c r="O19" s="5" t="n">
        <v>2500</v>
      </c>
      <c r="P19" s="6" t="n">
        <v>0.3</v>
      </c>
    </row>
    <row r="20" ht="22" customHeight="1" s="8">
      <c r="A20" s="2" t="inlineStr">
        <is>
          <t>P015</t>
        </is>
      </c>
      <c r="B20" s="2" t="inlineStr">
        <is>
          <t>L-i15d1.4s0.6</t>
        </is>
      </c>
      <c r="C20" s="3" t="inlineStr">
        <is>
          <t>三参数全因子分析</t>
        </is>
      </c>
      <c r="D20" s="3" t="inlineStr">
        <is>
          <t>宽频正弦波</t>
        </is>
      </c>
      <c r="E20" s="9" t="n">
        <v>15</v>
      </c>
      <c r="F20" s="9" t="n">
        <v>15</v>
      </c>
      <c r="G20" s="5" t="n">
        <v>100</v>
      </c>
      <c r="H20" s="5" t="n">
        <v>140</v>
      </c>
      <c r="I20" s="6">
        <f>IF(H20="","",H20/G20)</f>
        <v/>
      </c>
      <c r="J20" s="5" t="n">
        <v>1200</v>
      </c>
      <c r="K20" s="5" t="n">
        <v>2000</v>
      </c>
      <c r="L20" s="10">
        <f>IF(J20="","",J20/K20)</f>
        <v/>
      </c>
      <c r="M20" s="5" t="n">
        <v>2125</v>
      </c>
      <c r="N20" s="6" t="n">
        <v>0.35</v>
      </c>
      <c r="O20" s="5" t="n">
        <v>2500</v>
      </c>
      <c r="P20" s="6" t="n">
        <v>0.3</v>
      </c>
    </row>
    <row r="21" ht="22" customHeight="1" s="8">
      <c r="A21" s="2" t="inlineStr">
        <is>
          <t>P016</t>
        </is>
      </c>
      <c r="B21" s="2" t="inlineStr">
        <is>
          <t>L-i15d1.4s0.75</t>
        </is>
      </c>
      <c r="C21" s="3" t="inlineStr">
        <is>
          <t>三参数全因子分析</t>
        </is>
      </c>
      <c r="D21" s="3" t="inlineStr">
        <is>
          <t>宽频正弦波</t>
        </is>
      </c>
      <c r="E21" s="9" t="n">
        <v>15</v>
      </c>
      <c r="F21" s="9" t="n">
        <v>15</v>
      </c>
      <c r="G21" s="5" t="n">
        <v>100</v>
      </c>
      <c r="H21" s="5" t="n">
        <v>140</v>
      </c>
      <c r="I21" s="6">
        <f>IF(H21="","",H21/G21)</f>
        <v/>
      </c>
      <c r="J21" s="5" t="n">
        <v>1500</v>
      </c>
      <c r="K21" s="5" t="n">
        <v>2000</v>
      </c>
      <c r="L21" s="10">
        <f>IF(J21="","",J21/K21)</f>
        <v/>
      </c>
      <c r="M21" s="5" t="n">
        <v>2125</v>
      </c>
      <c r="N21" s="6" t="n">
        <v>0.35</v>
      </c>
      <c r="O21" s="5" t="n">
        <v>2500</v>
      </c>
      <c r="P21" s="6" t="n">
        <v>0.3</v>
      </c>
    </row>
    <row r="22" ht="22" customHeight="1" s="8">
      <c r="A22" s="2" t="inlineStr">
        <is>
          <t>P017</t>
        </is>
      </c>
      <c r="B22" s="2" t="inlineStr">
        <is>
          <t>L-i30d0.2s0.3</t>
        </is>
      </c>
      <c r="C22" s="3" t="inlineStr">
        <is>
          <t>三参数全因子分析</t>
        </is>
      </c>
      <c r="D22" s="3" t="inlineStr">
        <is>
          <t>宽频正弦波</t>
        </is>
      </c>
      <c r="E22" s="9" t="n">
        <v>15</v>
      </c>
      <c r="F22" s="9" t="n">
        <v>30</v>
      </c>
      <c r="G22" s="5" t="n">
        <v>100</v>
      </c>
      <c r="H22" s="5" t="n">
        <v>20</v>
      </c>
      <c r="I22" s="6">
        <f>IF(H22="","",H22/G22)</f>
        <v/>
      </c>
      <c r="J22" s="5" t="n">
        <v>600</v>
      </c>
      <c r="K22" s="5" t="n">
        <v>2000</v>
      </c>
      <c r="L22" s="10">
        <f>IF(J22="","",J22/K22)</f>
        <v/>
      </c>
      <c r="M22" s="5" t="n">
        <v>2125</v>
      </c>
      <c r="N22" s="6" t="n">
        <v>0.35</v>
      </c>
      <c r="O22" s="5" t="n">
        <v>2500</v>
      </c>
      <c r="P22" s="6" t="n">
        <v>0.3</v>
      </c>
    </row>
    <row r="23" ht="22" customHeight="1" s="8">
      <c r="A23" s="2" t="inlineStr">
        <is>
          <t>P018</t>
        </is>
      </c>
      <c r="B23" s="2" t="inlineStr">
        <is>
          <t>L-i30d0.2s0.45</t>
        </is>
      </c>
      <c r="C23" s="3" t="inlineStr">
        <is>
          <t>三参数全因子分析</t>
        </is>
      </c>
      <c r="D23" s="3" t="inlineStr">
        <is>
          <t>宽频正弦波</t>
        </is>
      </c>
      <c r="E23" s="9" t="n">
        <v>15</v>
      </c>
      <c r="F23" s="9" t="n">
        <v>30</v>
      </c>
      <c r="G23" s="5" t="n">
        <v>100</v>
      </c>
      <c r="H23" s="5" t="n">
        <v>20</v>
      </c>
      <c r="I23" s="6">
        <f>IF(H23="","",H23/G23)</f>
        <v/>
      </c>
      <c r="J23" s="5" t="n">
        <v>900</v>
      </c>
      <c r="K23" s="5" t="n">
        <v>2000</v>
      </c>
      <c r="L23" s="10">
        <f>IF(J23="","",J23/K23)</f>
        <v/>
      </c>
      <c r="M23" s="5" t="n">
        <v>2125</v>
      </c>
      <c r="N23" s="6" t="n">
        <v>0.35</v>
      </c>
      <c r="O23" s="5" t="n">
        <v>2500</v>
      </c>
      <c r="P23" s="6" t="n">
        <v>0.3</v>
      </c>
    </row>
    <row r="24" ht="22" customHeight="1" s="8">
      <c r="A24" s="2" t="inlineStr">
        <is>
          <t>P019</t>
        </is>
      </c>
      <c r="B24" s="2" t="inlineStr">
        <is>
          <t>L-i30d0.2s0.6</t>
        </is>
      </c>
      <c r="C24" s="3" t="inlineStr">
        <is>
          <t>三参数全因子分析</t>
        </is>
      </c>
      <c r="D24" s="3" t="inlineStr">
        <is>
          <t>宽频正弦波</t>
        </is>
      </c>
      <c r="E24" s="9" t="n">
        <v>15</v>
      </c>
      <c r="F24" s="9" t="n">
        <v>30</v>
      </c>
      <c r="G24" s="5" t="n">
        <v>100</v>
      </c>
      <c r="H24" s="5" t="n">
        <v>20</v>
      </c>
      <c r="I24" s="6">
        <f>IF(H24="","",H24/G24)</f>
        <v/>
      </c>
      <c r="J24" s="5" t="n">
        <v>1200</v>
      </c>
      <c r="K24" s="5" t="n">
        <v>2000</v>
      </c>
      <c r="L24" s="10">
        <f>IF(J24="","",J24/K24)</f>
        <v/>
      </c>
      <c r="M24" s="5" t="n">
        <v>2125</v>
      </c>
      <c r="N24" s="6" t="n">
        <v>0.35</v>
      </c>
      <c r="O24" s="5" t="n">
        <v>2500</v>
      </c>
      <c r="P24" s="6" t="n">
        <v>0.3</v>
      </c>
    </row>
    <row r="25" ht="22" customHeight="1" s="8">
      <c r="A25" s="2" t="inlineStr">
        <is>
          <t>P020</t>
        </is>
      </c>
      <c r="B25" s="2" t="inlineStr">
        <is>
          <t>L-i30d0.2s0.75</t>
        </is>
      </c>
      <c r="C25" s="3" t="inlineStr">
        <is>
          <t>三参数全因子分析</t>
        </is>
      </c>
      <c r="D25" s="3" t="inlineStr">
        <is>
          <t>宽频正弦波</t>
        </is>
      </c>
      <c r="E25" s="9" t="n">
        <v>15</v>
      </c>
      <c r="F25" s="9" t="n">
        <v>30</v>
      </c>
      <c r="G25" s="5" t="n">
        <v>100</v>
      </c>
      <c r="H25" s="5" t="n">
        <v>20</v>
      </c>
      <c r="I25" s="6">
        <f>IF(H25="","",H25/G25)</f>
        <v/>
      </c>
      <c r="J25" s="5" t="n">
        <v>1500</v>
      </c>
      <c r="K25" s="5" t="n">
        <v>2000</v>
      </c>
      <c r="L25" s="10">
        <f>IF(J25="","",J25/K25)</f>
        <v/>
      </c>
      <c r="M25" s="5" t="n">
        <v>2125</v>
      </c>
      <c r="N25" s="6" t="n">
        <v>0.35</v>
      </c>
      <c r="O25" s="5" t="n">
        <v>2500</v>
      </c>
      <c r="P25" s="6" t="n">
        <v>0.3</v>
      </c>
    </row>
    <row r="26" ht="22" customHeight="1" s="8">
      <c r="A26" s="2" t="inlineStr">
        <is>
          <t>P021</t>
        </is>
      </c>
      <c r="B26" s="2" t="inlineStr">
        <is>
          <t>L-i30d0.6s0.3</t>
        </is>
      </c>
      <c r="C26" s="3" t="inlineStr">
        <is>
          <t>三参数全因子分析</t>
        </is>
      </c>
      <c r="D26" s="3" t="inlineStr">
        <is>
          <t>宽频正弦波</t>
        </is>
      </c>
      <c r="E26" s="9" t="n">
        <v>15</v>
      </c>
      <c r="F26" s="9" t="n">
        <v>30</v>
      </c>
      <c r="G26" s="5" t="n">
        <v>100</v>
      </c>
      <c r="H26" s="5" t="n">
        <v>60</v>
      </c>
      <c r="I26" s="6">
        <f>IF(H26="","",H26/G26)</f>
        <v/>
      </c>
      <c r="J26" s="5" t="n">
        <v>600</v>
      </c>
      <c r="K26" s="5" t="n">
        <v>2000</v>
      </c>
      <c r="L26" s="10">
        <f>IF(J26="","",J26/K26)</f>
        <v/>
      </c>
      <c r="M26" s="5" t="n">
        <v>2125</v>
      </c>
      <c r="N26" s="6" t="n">
        <v>0.35</v>
      </c>
      <c r="O26" s="5" t="n">
        <v>2500</v>
      </c>
      <c r="P26" s="6" t="n">
        <v>0.3</v>
      </c>
    </row>
    <row r="27" ht="22" customHeight="1" s="8">
      <c r="A27" s="2" t="inlineStr">
        <is>
          <t>P022</t>
        </is>
      </c>
      <c r="B27" s="2" t="inlineStr">
        <is>
          <t>L-i30d0.6s0.45</t>
        </is>
      </c>
      <c r="C27" s="3" t="inlineStr">
        <is>
          <t>三参数全因子分析</t>
        </is>
      </c>
      <c r="D27" s="3" t="inlineStr">
        <is>
          <t>宽频正弦波</t>
        </is>
      </c>
      <c r="E27" s="9" t="n">
        <v>15</v>
      </c>
      <c r="F27" s="9" t="n">
        <v>30</v>
      </c>
      <c r="G27" s="5" t="n">
        <v>100</v>
      </c>
      <c r="H27" s="5" t="n">
        <v>60</v>
      </c>
      <c r="I27" s="6">
        <f>IF(H27="","",H27/G27)</f>
        <v/>
      </c>
      <c r="J27" s="5" t="n">
        <v>900</v>
      </c>
      <c r="K27" s="5" t="n">
        <v>2000</v>
      </c>
      <c r="L27" s="10">
        <f>IF(J27="","",J27/K27)</f>
        <v/>
      </c>
      <c r="M27" s="5" t="n">
        <v>2125</v>
      </c>
      <c r="N27" s="6" t="n">
        <v>0.35</v>
      </c>
      <c r="O27" s="5" t="n">
        <v>2500</v>
      </c>
      <c r="P27" s="6" t="n">
        <v>0.3</v>
      </c>
    </row>
    <row r="28" ht="22" customHeight="1" s="8">
      <c r="A28" s="2" t="inlineStr">
        <is>
          <t>P023</t>
        </is>
      </c>
      <c r="B28" s="2" t="inlineStr">
        <is>
          <t>L-i30d0.6s0.6</t>
        </is>
      </c>
      <c r="C28" s="3" t="inlineStr">
        <is>
          <t>三参数全因子分析</t>
        </is>
      </c>
      <c r="D28" s="3" t="inlineStr">
        <is>
          <t>宽频正弦波</t>
        </is>
      </c>
      <c r="E28" s="9" t="n">
        <v>15</v>
      </c>
      <c r="F28" s="9" t="n">
        <v>30</v>
      </c>
      <c r="G28" s="5" t="n">
        <v>100</v>
      </c>
      <c r="H28" s="5" t="n">
        <v>60</v>
      </c>
      <c r="I28" s="6">
        <f>IF(H28="","",H28/G28)</f>
        <v/>
      </c>
      <c r="J28" s="5" t="n">
        <v>1200</v>
      </c>
      <c r="K28" s="5" t="n">
        <v>2000</v>
      </c>
      <c r="L28" s="10">
        <f>IF(J28="","",J28/K28)</f>
        <v/>
      </c>
      <c r="M28" s="5" t="n">
        <v>2125</v>
      </c>
      <c r="N28" s="6" t="n">
        <v>0.35</v>
      </c>
      <c r="O28" s="5" t="n">
        <v>2500</v>
      </c>
      <c r="P28" s="6" t="n">
        <v>0.3</v>
      </c>
    </row>
    <row r="29" ht="22" customHeight="1" s="8">
      <c r="A29" s="2" t="inlineStr">
        <is>
          <t>P024</t>
        </is>
      </c>
      <c r="B29" s="2" t="inlineStr">
        <is>
          <t>L-i30d0.6s0.75</t>
        </is>
      </c>
      <c r="C29" s="3" t="inlineStr">
        <is>
          <t>三参数全因子分析</t>
        </is>
      </c>
      <c r="D29" s="3" t="inlineStr">
        <is>
          <t>宽频正弦波</t>
        </is>
      </c>
      <c r="E29" s="9" t="n">
        <v>15</v>
      </c>
      <c r="F29" s="9" t="n">
        <v>30</v>
      </c>
      <c r="G29" s="5" t="n">
        <v>100</v>
      </c>
      <c r="H29" s="5" t="n">
        <v>60</v>
      </c>
      <c r="I29" s="6">
        <f>IF(H29="","",H29/G29)</f>
        <v/>
      </c>
      <c r="J29" s="5" t="n">
        <v>1500</v>
      </c>
      <c r="K29" s="5" t="n">
        <v>2000</v>
      </c>
      <c r="L29" s="10">
        <f>IF(J29="","",J29/K29)</f>
        <v/>
      </c>
      <c r="M29" s="5" t="n">
        <v>2125</v>
      </c>
      <c r="N29" s="6" t="n">
        <v>0.35</v>
      </c>
      <c r="O29" s="5" t="n">
        <v>2500</v>
      </c>
      <c r="P29" s="6" t="n">
        <v>0.3</v>
      </c>
    </row>
    <row r="30" ht="22" customHeight="1" s="8">
      <c r="A30" s="2" t="inlineStr">
        <is>
          <t>P025</t>
        </is>
      </c>
      <c r="B30" s="2" t="inlineStr">
        <is>
          <t>L-i30d1s0.3</t>
        </is>
      </c>
      <c r="C30" s="3" t="inlineStr">
        <is>
          <t>三参数全因子分析</t>
        </is>
      </c>
      <c r="D30" s="3" t="inlineStr">
        <is>
          <t>宽频正弦波</t>
        </is>
      </c>
      <c r="E30" s="9" t="n">
        <v>15</v>
      </c>
      <c r="F30" s="9" t="n">
        <v>30</v>
      </c>
      <c r="G30" s="5" t="n">
        <v>100</v>
      </c>
      <c r="H30" s="5" t="n">
        <v>100</v>
      </c>
      <c r="I30" s="6">
        <f>IF(H30="","",H30/G30)</f>
        <v/>
      </c>
      <c r="J30" s="5" t="n">
        <v>600</v>
      </c>
      <c r="K30" s="5" t="n">
        <v>2000</v>
      </c>
      <c r="L30" s="10">
        <f>IF(J30="","",J30/K30)</f>
        <v/>
      </c>
      <c r="M30" s="5" t="n">
        <v>2125</v>
      </c>
      <c r="N30" s="6" t="n">
        <v>0.35</v>
      </c>
      <c r="O30" s="5" t="n">
        <v>2500</v>
      </c>
      <c r="P30" s="6" t="n">
        <v>0.3</v>
      </c>
    </row>
    <row r="31" ht="22" customHeight="1" s="8">
      <c r="A31" s="2" t="inlineStr">
        <is>
          <t>P026</t>
        </is>
      </c>
      <c r="B31" s="2" t="inlineStr">
        <is>
          <t>L-i30d1s0.45</t>
        </is>
      </c>
      <c r="C31" s="3" t="inlineStr">
        <is>
          <t>三参数全因子分析</t>
        </is>
      </c>
      <c r="D31" s="3" t="inlineStr">
        <is>
          <t>宽频正弦波</t>
        </is>
      </c>
      <c r="E31" s="9" t="n">
        <v>15</v>
      </c>
      <c r="F31" s="9" t="n">
        <v>30</v>
      </c>
      <c r="G31" s="5" t="n">
        <v>100</v>
      </c>
      <c r="H31" s="5" t="n">
        <v>100</v>
      </c>
      <c r="I31" s="6">
        <f>IF(H31="","",H31/G31)</f>
        <v/>
      </c>
      <c r="J31" s="5" t="n">
        <v>900</v>
      </c>
      <c r="K31" s="5" t="n">
        <v>2000</v>
      </c>
      <c r="L31" s="10">
        <f>IF(J31="","",J31/K31)</f>
        <v/>
      </c>
      <c r="M31" s="5" t="n">
        <v>2125</v>
      </c>
      <c r="N31" s="6" t="n">
        <v>0.35</v>
      </c>
      <c r="O31" s="5" t="n">
        <v>2500</v>
      </c>
      <c r="P31" s="6" t="n">
        <v>0.3</v>
      </c>
    </row>
    <row r="32" ht="22" customHeight="1" s="8">
      <c r="A32" s="2" t="inlineStr">
        <is>
          <t>P027</t>
        </is>
      </c>
      <c r="B32" s="2" t="inlineStr">
        <is>
          <t>L-i30d1s0.6</t>
        </is>
      </c>
      <c r="C32" s="3" t="inlineStr">
        <is>
          <t>三参数全因子分析</t>
        </is>
      </c>
      <c r="D32" s="3" t="inlineStr">
        <is>
          <t>宽频正弦波</t>
        </is>
      </c>
      <c r="E32" s="9" t="n">
        <v>15</v>
      </c>
      <c r="F32" s="9" t="n">
        <v>30</v>
      </c>
      <c r="G32" s="5" t="n">
        <v>100</v>
      </c>
      <c r="H32" s="5" t="n">
        <v>100</v>
      </c>
      <c r="I32" s="6">
        <f>IF(H32="","",H32/G32)</f>
        <v/>
      </c>
      <c r="J32" s="5" t="n">
        <v>1200</v>
      </c>
      <c r="K32" s="5" t="n">
        <v>2000</v>
      </c>
      <c r="L32" s="10">
        <f>IF(J32="","",J32/K32)</f>
        <v/>
      </c>
      <c r="M32" s="5" t="n">
        <v>2125</v>
      </c>
      <c r="N32" s="6" t="n">
        <v>0.35</v>
      </c>
      <c r="O32" s="5" t="n">
        <v>2500</v>
      </c>
      <c r="P32" s="6" t="n">
        <v>0.3</v>
      </c>
    </row>
    <row r="33" ht="22" customHeight="1" s="8">
      <c r="A33" s="2" t="inlineStr">
        <is>
          <t>P028</t>
        </is>
      </c>
      <c r="B33" s="2" t="inlineStr">
        <is>
          <t>L-i30d1s0.75</t>
        </is>
      </c>
      <c r="C33" s="3" t="inlineStr">
        <is>
          <t>三参数全因子分析</t>
        </is>
      </c>
      <c r="D33" s="3" t="inlineStr">
        <is>
          <t>宽频正弦波</t>
        </is>
      </c>
      <c r="E33" s="9" t="n">
        <v>15</v>
      </c>
      <c r="F33" s="9" t="n">
        <v>30</v>
      </c>
      <c r="G33" s="5" t="n">
        <v>100</v>
      </c>
      <c r="H33" s="5" t="n">
        <v>100</v>
      </c>
      <c r="I33" s="6">
        <f>IF(H33="","",H33/G33)</f>
        <v/>
      </c>
      <c r="J33" s="5" t="n">
        <v>1500</v>
      </c>
      <c r="K33" s="5" t="n">
        <v>2000</v>
      </c>
      <c r="L33" s="10">
        <f>IF(J33="","",J33/K33)</f>
        <v/>
      </c>
      <c r="M33" s="5" t="n">
        <v>2125</v>
      </c>
      <c r="N33" s="6" t="n">
        <v>0.35</v>
      </c>
      <c r="O33" s="5" t="n">
        <v>2500</v>
      </c>
      <c r="P33" s="6" t="n">
        <v>0.3</v>
      </c>
    </row>
    <row r="34" ht="22" customHeight="1" s="8">
      <c r="A34" s="2" t="inlineStr">
        <is>
          <t>P029</t>
        </is>
      </c>
      <c r="B34" s="2" t="inlineStr">
        <is>
          <t>L-i30d1.4s0.3</t>
        </is>
      </c>
      <c r="C34" s="3" t="inlineStr">
        <is>
          <t>三参数全因子分析</t>
        </is>
      </c>
      <c r="D34" s="3" t="inlineStr">
        <is>
          <t>宽频正弦波</t>
        </is>
      </c>
      <c r="E34" s="9" t="n">
        <v>15</v>
      </c>
      <c r="F34" s="9" t="n">
        <v>30</v>
      </c>
      <c r="G34" s="5" t="n">
        <v>100</v>
      </c>
      <c r="H34" s="5" t="n">
        <v>140</v>
      </c>
      <c r="I34" s="6">
        <f>IF(H34="","",H34/G34)</f>
        <v/>
      </c>
      <c r="J34" s="5" t="n">
        <v>600</v>
      </c>
      <c r="K34" s="5" t="n">
        <v>2000</v>
      </c>
      <c r="L34" s="10">
        <f>IF(J34="","",J34/K34)</f>
        <v/>
      </c>
      <c r="M34" s="5" t="n">
        <v>2125</v>
      </c>
      <c r="N34" s="6" t="n">
        <v>0.35</v>
      </c>
      <c r="O34" s="5" t="n">
        <v>2500</v>
      </c>
      <c r="P34" s="6" t="n">
        <v>0.3</v>
      </c>
    </row>
    <row r="35" ht="22" customHeight="1" s="8">
      <c r="A35" s="2" t="inlineStr">
        <is>
          <t>P030</t>
        </is>
      </c>
      <c r="B35" s="2" t="inlineStr">
        <is>
          <t>L-i30d1.4s0.45</t>
        </is>
      </c>
      <c r="C35" s="3" t="inlineStr">
        <is>
          <t>三参数全因子分析</t>
        </is>
      </c>
      <c r="D35" s="3" t="inlineStr">
        <is>
          <t>宽频正弦波</t>
        </is>
      </c>
      <c r="E35" s="9" t="n">
        <v>15</v>
      </c>
      <c r="F35" s="9" t="n">
        <v>30</v>
      </c>
      <c r="G35" s="5" t="n">
        <v>100</v>
      </c>
      <c r="H35" s="5" t="n">
        <v>140</v>
      </c>
      <c r="I35" s="6">
        <f>IF(H35="","",H35/G35)</f>
        <v/>
      </c>
      <c r="J35" s="5" t="n">
        <v>900</v>
      </c>
      <c r="K35" s="5" t="n">
        <v>2000</v>
      </c>
      <c r="L35" s="10">
        <f>IF(J35="","",J35/K35)</f>
        <v/>
      </c>
      <c r="M35" s="5" t="n">
        <v>2125</v>
      </c>
      <c r="N35" s="6" t="n">
        <v>0.35</v>
      </c>
      <c r="O35" s="5" t="n">
        <v>2500</v>
      </c>
      <c r="P35" s="6" t="n">
        <v>0.3</v>
      </c>
    </row>
    <row r="36" ht="22" customHeight="1" s="8">
      <c r="A36" s="2" t="inlineStr">
        <is>
          <t>P031</t>
        </is>
      </c>
      <c r="B36" s="2" t="inlineStr">
        <is>
          <t>L-i30d1.4s0.6</t>
        </is>
      </c>
      <c r="C36" s="3" t="inlineStr">
        <is>
          <t>三参数全因子分析</t>
        </is>
      </c>
      <c r="D36" s="3" t="inlineStr">
        <is>
          <t>宽频正弦波</t>
        </is>
      </c>
      <c r="E36" s="9" t="n">
        <v>15</v>
      </c>
      <c r="F36" s="9" t="n">
        <v>30</v>
      </c>
      <c r="G36" s="5" t="n">
        <v>100</v>
      </c>
      <c r="H36" s="5" t="n">
        <v>140</v>
      </c>
      <c r="I36" s="6">
        <f>IF(H36="","",H36/G36)</f>
        <v/>
      </c>
      <c r="J36" s="5" t="n">
        <v>1200</v>
      </c>
      <c r="K36" s="5" t="n">
        <v>2000</v>
      </c>
      <c r="L36" s="10">
        <f>IF(J36="","",J36/K36)</f>
        <v/>
      </c>
      <c r="M36" s="5" t="n">
        <v>2125</v>
      </c>
      <c r="N36" s="6" t="n">
        <v>0.35</v>
      </c>
      <c r="O36" s="5" t="n">
        <v>2500</v>
      </c>
      <c r="P36" s="6" t="n">
        <v>0.3</v>
      </c>
    </row>
    <row r="37" ht="22" customHeight="1" s="8">
      <c r="A37" s="2" t="inlineStr">
        <is>
          <t>P032</t>
        </is>
      </c>
      <c r="B37" s="2" t="inlineStr">
        <is>
          <t>L-i30d1.4s0.75</t>
        </is>
      </c>
      <c r="C37" s="3" t="inlineStr">
        <is>
          <t>三参数全因子分析</t>
        </is>
      </c>
      <c r="D37" s="3" t="inlineStr">
        <is>
          <t>宽频正弦波</t>
        </is>
      </c>
      <c r="E37" s="9" t="n">
        <v>15</v>
      </c>
      <c r="F37" s="9" t="n">
        <v>30</v>
      </c>
      <c r="G37" s="5" t="n">
        <v>100</v>
      </c>
      <c r="H37" s="5" t="n">
        <v>140</v>
      </c>
      <c r="I37" s="6">
        <f>IF(H37="","",H37/G37)</f>
        <v/>
      </c>
      <c r="J37" s="5" t="n">
        <v>1500</v>
      </c>
      <c r="K37" s="5" t="n">
        <v>2000</v>
      </c>
      <c r="L37" s="10">
        <f>IF(J37="","",J37/K37)</f>
        <v/>
      </c>
      <c r="M37" s="5" t="n">
        <v>2125</v>
      </c>
      <c r="N37" s="6" t="n">
        <v>0.35</v>
      </c>
      <c r="O37" s="5" t="n">
        <v>2500</v>
      </c>
      <c r="P37" s="6" t="n">
        <v>0.3</v>
      </c>
    </row>
    <row r="38" ht="22" customHeight="1" s="8">
      <c r="A38" s="2" t="inlineStr">
        <is>
          <t>P033</t>
        </is>
      </c>
      <c r="B38" s="2" t="inlineStr">
        <is>
          <t>L-i45d0.2s0.3</t>
        </is>
      </c>
      <c r="C38" s="3" t="inlineStr">
        <is>
          <t>三参数全因子分析</t>
        </is>
      </c>
      <c r="D38" s="3" t="inlineStr">
        <is>
          <t>宽频正弦波</t>
        </is>
      </c>
      <c r="E38" s="9" t="n">
        <v>15</v>
      </c>
      <c r="F38" s="9" t="n">
        <v>45</v>
      </c>
      <c r="G38" s="5" t="n">
        <v>100</v>
      </c>
      <c r="H38" s="5" t="n">
        <v>20</v>
      </c>
      <c r="I38" s="6">
        <f>IF(H38="","",H38/G38)</f>
        <v/>
      </c>
      <c r="J38" s="5" t="n">
        <v>600</v>
      </c>
      <c r="K38" s="5" t="n">
        <v>2000</v>
      </c>
      <c r="L38" s="10">
        <f>IF(J38="","",J38/K38)</f>
        <v/>
      </c>
      <c r="M38" s="5" t="n">
        <v>2125</v>
      </c>
      <c r="N38" s="6" t="n">
        <v>0.35</v>
      </c>
      <c r="O38" s="5" t="n">
        <v>2500</v>
      </c>
      <c r="P38" s="6" t="n">
        <v>0.3</v>
      </c>
    </row>
    <row r="39" ht="22" customHeight="1" s="8">
      <c r="A39" s="2" t="inlineStr">
        <is>
          <t>P034</t>
        </is>
      </c>
      <c r="B39" s="2" t="inlineStr">
        <is>
          <t>L-i45d0.2s0.45</t>
        </is>
      </c>
      <c r="C39" s="3" t="inlineStr">
        <is>
          <t>三参数全因子分析</t>
        </is>
      </c>
      <c r="D39" s="3" t="inlineStr">
        <is>
          <t>宽频正弦波</t>
        </is>
      </c>
      <c r="E39" s="9" t="n">
        <v>15</v>
      </c>
      <c r="F39" s="9" t="n">
        <v>45</v>
      </c>
      <c r="G39" s="5" t="n">
        <v>100</v>
      </c>
      <c r="H39" s="5" t="n">
        <v>20</v>
      </c>
      <c r="I39" s="6">
        <f>IF(H39="","",H39/G39)</f>
        <v/>
      </c>
      <c r="J39" s="5" t="n">
        <v>900</v>
      </c>
      <c r="K39" s="5" t="n">
        <v>2000</v>
      </c>
      <c r="L39" s="10">
        <f>IF(J39="","",J39/K39)</f>
        <v/>
      </c>
      <c r="M39" s="5" t="n">
        <v>2125</v>
      </c>
      <c r="N39" s="6" t="n">
        <v>0.35</v>
      </c>
      <c r="O39" s="5" t="n">
        <v>2500</v>
      </c>
      <c r="P39" s="6" t="n">
        <v>0.3</v>
      </c>
    </row>
    <row r="40" ht="22" customHeight="1" s="8">
      <c r="A40" s="2" t="inlineStr">
        <is>
          <t>P035</t>
        </is>
      </c>
      <c r="B40" s="2" t="inlineStr">
        <is>
          <t>L-i45d0.2s0.6</t>
        </is>
      </c>
      <c r="C40" s="3" t="inlineStr">
        <is>
          <t>三参数全因子分析</t>
        </is>
      </c>
      <c r="D40" s="3" t="inlineStr">
        <is>
          <t>宽频正弦波</t>
        </is>
      </c>
      <c r="E40" s="9" t="n">
        <v>15</v>
      </c>
      <c r="F40" s="9" t="n">
        <v>45</v>
      </c>
      <c r="G40" s="5" t="n">
        <v>100</v>
      </c>
      <c r="H40" s="5" t="n">
        <v>20</v>
      </c>
      <c r="I40" s="6">
        <f>IF(H40="","",H40/G40)</f>
        <v/>
      </c>
      <c r="J40" s="5" t="n">
        <v>1200</v>
      </c>
      <c r="K40" s="5" t="n">
        <v>2000</v>
      </c>
      <c r="L40" s="10">
        <f>IF(J40="","",J40/K40)</f>
        <v/>
      </c>
      <c r="M40" s="5" t="n">
        <v>2125</v>
      </c>
      <c r="N40" s="6" t="n">
        <v>0.35</v>
      </c>
      <c r="O40" s="5" t="n">
        <v>2500</v>
      </c>
      <c r="P40" s="6" t="n">
        <v>0.3</v>
      </c>
    </row>
    <row r="41" ht="22" customHeight="1" s="8">
      <c r="A41" s="2" t="inlineStr">
        <is>
          <t>P036</t>
        </is>
      </c>
      <c r="B41" s="2" t="inlineStr">
        <is>
          <t>L-i45d0.2s0.75</t>
        </is>
      </c>
      <c r="C41" s="3" t="inlineStr">
        <is>
          <t>三参数全因子分析</t>
        </is>
      </c>
      <c r="D41" s="3" t="inlineStr">
        <is>
          <t>宽频正弦波</t>
        </is>
      </c>
      <c r="E41" s="9" t="n">
        <v>15</v>
      </c>
      <c r="F41" s="9" t="n">
        <v>45</v>
      </c>
      <c r="G41" s="5" t="n">
        <v>100</v>
      </c>
      <c r="H41" s="5" t="n">
        <v>20</v>
      </c>
      <c r="I41" s="6">
        <f>IF(H41="","",H41/G41)</f>
        <v/>
      </c>
      <c r="J41" s="5" t="n">
        <v>1500</v>
      </c>
      <c r="K41" s="5" t="n">
        <v>2000</v>
      </c>
      <c r="L41" s="10">
        <f>IF(J41="","",J41/K41)</f>
        <v/>
      </c>
      <c r="M41" s="5" t="n">
        <v>2125</v>
      </c>
      <c r="N41" s="6" t="n">
        <v>0.35</v>
      </c>
      <c r="O41" s="5" t="n">
        <v>2500</v>
      </c>
      <c r="P41" s="6" t="n">
        <v>0.3</v>
      </c>
    </row>
    <row r="42" ht="22" customHeight="1" s="8">
      <c r="A42" s="2" t="inlineStr">
        <is>
          <t>P037</t>
        </is>
      </c>
      <c r="B42" s="2" t="inlineStr">
        <is>
          <t>L-i45d0.6s0.3</t>
        </is>
      </c>
      <c r="C42" s="3" t="inlineStr">
        <is>
          <t>三参数全因子分析</t>
        </is>
      </c>
      <c r="D42" s="3" t="inlineStr">
        <is>
          <t>宽频正弦波</t>
        </is>
      </c>
      <c r="E42" s="9" t="n">
        <v>15</v>
      </c>
      <c r="F42" s="9" t="n">
        <v>45</v>
      </c>
      <c r="G42" s="5" t="n">
        <v>100</v>
      </c>
      <c r="H42" s="5" t="n">
        <v>60</v>
      </c>
      <c r="I42" s="6">
        <f>IF(H42="","",H42/G42)</f>
        <v/>
      </c>
      <c r="J42" s="5" t="n">
        <v>600</v>
      </c>
      <c r="K42" s="5" t="n">
        <v>2000</v>
      </c>
      <c r="L42" s="10">
        <f>IF(J42="","",J42/K42)</f>
        <v/>
      </c>
      <c r="M42" s="5" t="n">
        <v>2125</v>
      </c>
      <c r="N42" s="6" t="n">
        <v>0.35</v>
      </c>
      <c r="O42" s="5" t="n">
        <v>2500</v>
      </c>
      <c r="P42" s="6" t="n">
        <v>0.3</v>
      </c>
    </row>
    <row r="43" ht="22" customHeight="1" s="8">
      <c r="A43" s="2" t="inlineStr">
        <is>
          <t>P038</t>
        </is>
      </c>
      <c r="B43" s="2" t="inlineStr">
        <is>
          <t>L-i45d0.6s0.45</t>
        </is>
      </c>
      <c r="C43" s="3" t="inlineStr">
        <is>
          <t>三参数全因子分析</t>
        </is>
      </c>
      <c r="D43" s="3" t="inlineStr">
        <is>
          <t>宽频正弦波</t>
        </is>
      </c>
      <c r="E43" s="9" t="n">
        <v>15</v>
      </c>
      <c r="F43" s="9" t="n">
        <v>45</v>
      </c>
      <c r="G43" s="5" t="n">
        <v>100</v>
      </c>
      <c r="H43" s="5" t="n">
        <v>60</v>
      </c>
      <c r="I43" s="6">
        <f>IF(H43="","",H43/G43)</f>
        <v/>
      </c>
      <c r="J43" s="5" t="n">
        <v>900</v>
      </c>
      <c r="K43" s="5" t="n">
        <v>2000</v>
      </c>
      <c r="L43" s="10">
        <f>IF(J43="","",J43/K43)</f>
        <v/>
      </c>
      <c r="M43" s="5" t="n">
        <v>2125</v>
      </c>
      <c r="N43" s="6" t="n">
        <v>0.35</v>
      </c>
      <c r="O43" s="5" t="n">
        <v>2500</v>
      </c>
      <c r="P43" s="6" t="n">
        <v>0.3</v>
      </c>
    </row>
    <row r="44" ht="22" customHeight="1" s="8">
      <c r="A44" s="2" t="inlineStr">
        <is>
          <t>P039</t>
        </is>
      </c>
      <c r="B44" s="2" t="inlineStr">
        <is>
          <t>L-i45d0.6s0.6</t>
        </is>
      </c>
      <c r="C44" s="3" t="inlineStr">
        <is>
          <t>三参数全因子分析</t>
        </is>
      </c>
      <c r="D44" s="3" t="inlineStr">
        <is>
          <t>宽频正弦波</t>
        </is>
      </c>
      <c r="E44" s="9" t="n">
        <v>15</v>
      </c>
      <c r="F44" s="9" t="n">
        <v>45</v>
      </c>
      <c r="G44" s="5" t="n">
        <v>100</v>
      </c>
      <c r="H44" s="5" t="n">
        <v>60</v>
      </c>
      <c r="I44" s="6">
        <f>IF(H44="","",H44/G44)</f>
        <v/>
      </c>
      <c r="J44" s="5" t="n">
        <v>1200</v>
      </c>
      <c r="K44" s="5" t="n">
        <v>2000</v>
      </c>
      <c r="L44" s="10">
        <f>IF(J44="","",J44/K44)</f>
        <v/>
      </c>
      <c r="M44" s="5" t="n">
        <v>2125</v>
      </c>
      <c r="N44" s="6" t="n">
        <v>0.35</v>
      </c>
      <c r="O44" s="5" t="n">
        <v>2500</v>
      </c>
      <c r="P44" s="6" t="n">
        <v>0.3</v>
      </c>
    </row>
    <row r="45" ht="22" customHeight="1" s="8">
      <c r="A45" s="2" t="inlineStr">
        <is>
          <t>P040</t>
        </is>
      </c>
      <c r="B45" s="2" t="inlineStr">
        <is>
          <t>L-i45d0.6s0.75</t>
        </is>
      </c>
      <c r="C45" s="3" t="inlineStr">
        <is>
          <t>三参数全因子分析</t>
        </is>
      </c>
      <c r="D45" s="3" t="inlineStr">
        <is>
          <t>宽频正弦波</t>
        </is>
      </c>
      <c r="E45" s="9" t="n">
        <v>15</v>
      </c>
      <c r="F45" s="9" t="n">
        <v>45</v>
      </c>
      <c r="G45" s="5" t="n">
        <v>100</v>
      </c>
      <c r="H45" s="5" t="n">
        <v>60</v>
      </c>
      <c r="I45" s="6">
        <f>IF(H45="","",H45/G45)</f>
        <v/>
      </c>
      <c r="J45" s="5" t="n">
        <v>1500</v>
      </c>
      <c r="K45" s="5" t="n">
        <v>2000</v>
      </c>
      <c r="L45" s="10">
        <f>IF(J45="","",J45/K45)</f>
        <v/>
      </c>
      <c r="M45" s="5" t="n">
        <v>2125</v>
      </c>
      <c r="N45" s="6" t="n">
        <v>0.35</v>
      </c>
      <c r="O45" s="5" t="n">
        <v>2500</v>
      </c>
      <c r="P45" s="6" t="n">
        <v>0.3</v>
      </c>
    </row>
    <row r="46" ht="22" customHeight="1" s="8">
      <c r="A46" s="2" t="inlineStr">
        <is>
          <t>P041</t>
        </is>
      </c>
      <c r="B46" s="2" t="inlineStr">
        <is>
          <t>L-i45d1s0.3</t>
        </is>
      </c>
      <c r="C46" s="3" t="inlineStr">
        <is>
          <t>三参数全因子分析</t>
        </is>
      </c>
      <c r="D46" s="3" t="inlineStr">
        <is>
          <t>宽频正弦波</t>
        </is>
      </c>
      <c r="E46" s="9" t="n">
        <v>15</v>
      </c>
      <c r="F46" s="9" t="n">
        <v>45</v>
      </c>
      <c r="G46" s="5" t="n">
        <v>100</v>
      </c>
      <c r="H46" s="5" t="n">
        <v>100</v>
      </c>
      <c r="I46" s="6">
        <f>IF(H46="","",H46/G46)</f>
        <v/>
      </c>
      <c r="J46" s="5" t="n">
        <v>600</v>
      </c>
      <c r="K46" s="5" t="n">
        <v>2000</v>
      </c>
      <c r="L46" s="10">
        <f>IF(J46="","",J46/K46)</f>
        <v/>
      </c>
      <c r="M46" s="5" t="n">
        <v>2125</v>
      </c>
      <c r="N46" s="6" t="n">
        <v>0.35</v>
      </c>
      <c r="O46" s="5" t="n">
        <v>2500</v>
      </c>
      <c r="P46" s="6" t="n">
        <v>0.3</v>
      </c>
    </row>
    <row r="47" ht="22" customHeight="1" s="8">
      <c r="A47" s="2" t="inlineStr">
        <is>
          <t>P042</t>
        </is>
      </c>
      <c r="B47" s="2" t="inlineStr">
        <is>
          <t>L-i45d1s0.45</t>
        </is>
      </c>
      <c r="C47" s="3" t="inlineStr">
        <is>
          <t>三参数全因子分析</t>
        </is>
      </c>
      <c r="D47" s="3" t="inlineStr">
        <is>
          <t>宽频正弦波</t>
        </is>
      </c>
      <c r="E47" s="9" t="n">
        <v>15</v>
      </c>
      <c r="F47" s="9" t="n">
        <v>45</v>
      </c>
      <c r="G47" s="5" t="n">
        <v>100</v>
      </c>
      <c r="H47" s="5" t="n">
        <v>100</v>
      </c>
      <c r="I47" s="6">
        <f>IF(H47="","",H47/G47)</f>
        <v/>
      </c>
      <c r="J47" s="5" t="n">
        <v>900</v>
      </c>
      <c r="K47" s="5" t="n">
        <v>2000</v>
      </c>
      <c r="L47" s="10">
        <f>IF(J47="","",J47/K47)</f>
        <v/>
      </c>
      <c r="M47" s="5" t="n">
        <v>2125</v>
      </c>
      <c r="N47" s="6" t="n">
        <v>0.35</v>
      </c>
      <c r="O47" s="5" t="n">
        <v>2500</v>
      </c>
      <c r="P47" s="6" t="n">
        <v>0.3</v>
      </c>
    </row>
    <row r="48" ht="22" customHeight="1" s="8">
      <c r="A48" s="2" t="inlineStr">
        <is>
          <t>P043</t>
        </is>
      </c>
      <c r="B48" s="2" t="inlineStr">
        <is>
          <t>L-i45d1s0.6</t>
        </is>
      </c>
      <c r="C48" s="3" t="inlineStr">
        <is>
          <t>三参数全因子分析</t>
        </is>
      </c>
      <c r="D48" s="3" t="inlineStr">
        <is>
          <t>宽频正弦波</t>
        </is>
      </c>
      <c r="E48" s="9" t="n">
        <v>15</v>
      </c>
      <c r="F48" s="9" t="n">
        <v>45</v>
      </c>
      <c r="G48" s="5" t="n">
        <v>100</v>
      </c>
      <c r="H48" s="5" t="n">
        <v>100</v>
      </c>
      <c r="I48" s="6">
        <f>IF(H48="","",H48/G48)</f>
        <v/>
      </c>
      <c r="J48" s="5" t="n">
        <v>1200</v>
      </c>
      <c r="K48" s="5" t="n">
        <v>2000</v>
      </c>
      <c r="L48" s="10">
        <f>IF(J48="","",J48/K48)</f>
        <v/>
      </c>
      <c r="M48" s="5" t="n">
        <v>2125</v>
      </c>
      <c r="N48" s="6" t="n">
        <v>0.35</v>
      </c>
      <c r="O48" s="5" t="n">
        <v>2500</v>
      </c>
      <c r="P48" s="6" t="n">
        <v>0.3</v>
      </c>
    </row>
    <row r="49" ht="22" customHeight="1" s="8">
      <c r="A49" s="2" t="inlineStr">
        <is>
          <t>P044</t>
        </is>
      </c>
      <c r="B49" s="2" t="inlineStr">
        <is>
          <t>L-i45d1s0.75</t>
        </is>
      </c>
      <c r="C49" s="3" t="inlineStr">
        <is>
          <t>三参数全因子分析</t>
        </is>
      </c>
      <c r="D49" s="3" t="inlineStr">
        <is>
          <t>宽频正弦波</t>
        </is>
      </c>
      <c r="E49" s="9" t="n">
        <v>15</v>
      </c>
      <c r="F49" s="9" t="n">
        <v>45</v>
      </c>
      <c r="G49" s="5" t="n">
        <v>100</v>
      </c>
      <c r="H49" s="5" t="n">
        <v>100</v>
      </c>
      <c r="I49" s="6">
        <f>IF(H49="","",H49/G49)</f>
        <v/>
      </c>
      <c r="J49" s="5" t="n">
        <v>1500</v>
      </c>
      <c r="K49" s="5" t="n">
        <v>2000</v>
      </c>
      <c r="L49" s="10">
        <f>IF(J49="","",J49/K49)</f>
        <v/>
      </c>
      <c r="M49" s="5" t="n">
        <v>2125</v>
      </c>
      <c r="N49" s="6" t="n">
        <v>0.35</v>
      </c>
      <c r="O49" s="5" t="n">
        <v>2500</v>
      </c>
      <c r="P49" s="6" t="n">
        <v>0.3</v>
      </c>
    </row>
    <row r="50" ht="22" customHeight="1" s="8">
      <c r="A50" s="2" t="inlineStr">
        <is>
          <t>P045</t>
        </is>
      </c>
      <c r="B50" s="2" t="inlineStr">
        <is>
          <t>L-i45d1.4s0.3</t>
        </is>
      </c>
      <c r="C50" s="3" t="inlineStr">
        <is>
          <t>三参数全因子分析</t>
        </is>
      </c>
      <c r="D50" s="3" t="inlineStr">
        <is>
          <t>宽频正弦波</t>
        </is>
      </c>
      <c r="E50" s="9" t="n">
        <v>15</v>
      </c>
      <c r="F50" s="9" t="n">
        <v>45</v>
      </c>
      <c r="G50" s="5" t="n">
        <v>100</v>
      </c>
      <c r="H50" s="5" t="n">
        <v>140</v>
      </c>
      <c r="I50" s="6">
        <f>IF(H50="","",H50/G50)</f>
        <v/>
      </c>
      <c r="J50" s="5" t="n">
        <v>600</v>
      </c>
      <c r="K50" s="5" t="n">
        <v>2000</v>
      </c>
      <c r="L50" s="10">
        <f>IF(J50="","",J50/K50)</f>
        <v/>
      </c>
      <c r="M50" s="5" t="n">
        <v>2125</v>
      </c>
      <c r="N50" s="6" t="n">
        <v>0.35</v>
      </c>
      <c r="O50" s="5" t="n">
        <v>2500</v>
      </c>
      <c r="P50" s="6" t="n">
        <v>0.3</v>
      </c>
    </row>
    <row r="51" ht="22" customHeight="1" s="8">
      <c r="A51" s="2" t="inlineStr">
        <is>
          <t>P046</t>
        </is>
      </c>
      <c r="B51" s="2" t="inlineStr">
        <is>
          <t>L-i45d1.4s0.45</t>
        </is>
      </c>
      <c r="C51" s="3" t="inlineStr">
        <is>
          <t>三参数全因子分析</t>
        </is>
      </c>
      <c r="D51" s="3" t="inlineStr">
        <is>
          <t>宽频正弦波</t>
        </is>
      </c>
      <c r="E51" s="9" t="n">
        <v>15</v>
      </c>
      <c r="F51" s="9" t="n">
        <v>45</v>
      </c>
      <c r="G51" s="5" t="n">
        <v>100</v>
      </c>
      <c r="H51" s="5" t="n">
        <v>140</v>
      </c>
      <c r="I51" s="6">
        <f>IF(H51="","",H51/G51)</f>
        <v/>
      </c>
      <c r="J51" s="5" t="n">
        <v>900</v>
      </c>
      <c r="K51" s="5" t="n">
        <v>2000</v>
      </c>
      <c r="L51" s="10">
        <f>IF(J51="","",J51/K51)</f>
        <v/>
      </c>
      <c r="M51" s="5" t="n">
        <v>2125</v>
      </c>
      <c r="N51" s="6" t="n">
        <v>0.35</v>
      </c>
      <c r="O51" s="5" t="n">
        <v>2500</v>
      </c>
      <c r="P51" s="6" t="n">
        <v>0.3</v>
      </c>
    </row>
    <row r="52" ht="22" customHeight="1" s="8">
      <c r="A52" s="2" t="inlineStr">
        <is>
          <t>P047</t>
        </is>
      </c>
      <c r="B52" s="2" t="inlineStr">
        <is>
          <t>L-i45d1.4s0.6</t>
        </is>
      </c>
      <c r="C52" s="3" t="inlineStr">
        <is>
          <t>三参数全因子分析</t>
        </is>
      </c>
      <c r="D52" s="3" t="inlineStr">
        <is>
          <t>宽频正弦波</t>
        </is>
      </c>
      <c r="E52" s="9" t="n">
        <v>15</v>
      </c>
      <c r="F52" s="9" t="n">
        <v>45</v>
      </c>
      <c r="G52" s="5" t="n">
        <v>100</v>
      </c>
      <c r="H52" s="5" t="n">
        <v>140</v>
      </c>
      <c r="I52" s="6">
        <f>IF(H52="","",H52/G52)</f>
        <v/>
      </c>
      <c r="J52" s="5" t="n">
        <v>1200</v>
      </c>
      <c r="K52" s="5" t="n">
        <v>2000</v>
      </c>
      <c r="L52" s="10">
        <f>IF(J52="","",J52/K52)</f>
        <v/>
      </c>
      <c r="M52" s="5" t="n">
        <v>2125</v>
      </c>
      <c r="N52" s="6" t="n">
        <v>0.35</v>
      </c>
      <c r="O52" s="5" t="n">
        <v>2500</v>
      </c>
      <c r="P52" s="6" t="n">
        <v>0.3</v>
      </c>
    </row>
    <row r="53" ht="22" customHeight="1" s="8">
      <c r="A53" s="2" t="inlineStr">
        <is>
          <t>P048</t>
        </is>
      </c>
      <c r="B53" s="2" t="inlineStr">
        <is>
          <t>L-i45d1.4s0.75</t>
        </is>
      </c>
      <c r="C53" s="3" t="inlineStr">
        <is>
          <t>三参数全因子分析</t>
        </is>
      </c>
      <c r="D53" s="3" t="inlineStr">
        <is>
          <t>宽频正弦波</t>
        </is>
      </c>
      <c r="E53" s="9" t="n">
        <v>15</v>
      </c>
      <c r="F53" s="9" t="n">
        <v>45</v>
      </c>
      <c r="G53" s="5" t="n">
        <v>100</v>
      </c>
      <c r="H53" s="5" t="n">
        <v>140</v>
      </c>
      <c r="I53" s="6">
        <f>IF(H53="","",H53/G53)</f>
        <v/>
      </c>
      <c r="J53" s="5" t="n">
        <v>1500</v>
      </c>
      <c r="K53" s="5" t="n">
        <v>2000</v>
      </c>
      <c r="L53" s="10">
        <f>IF(J53="","",J53/K53)</f>
        <v/>
      </c>
      <c r="M53" s="5" t="n">
        <v>2125</v>
      </c>
      <c r="N53" s="6" t="n">
        <v>0.35</v>
      </c>
      <c r="O53" s="5" t="n">
        <v>2500</v>
      </c>
      <c r="P53" s="6" t="n">
        <v>0.3</v>
      </c>
    </row>
    <row r="54" ht="22" customHeight="1" s="8">
      <c r="A54" s="2" t="inlineStr">
        <is>
          <t>P049</t>
        </is>
      </c>
      <c r="B54" s="2" t="inlineStr">
        <is>
          <t>L-i60d0.2s0.3</t>
        </is>
      </c>
      <c r="C54" s="3" t="inlineStr">
        <is>
          <t>三参数全因子分析</t>
        </is>
      </c>
      <c r="D54" s="3" t="inlineStr">
        <is>
          <t>宽频正弦波</t>
        </is>
      </c>
      <c r="E54" s="9" t="n">
        <v>15</v>
      </c>
      <c r="F54" s="9" t="n">
        <v>60</v>
      </c>
      <c r="G54" s="5" t="n">
        <v>100</v>
      </c>
      <c r="H54" s="5" t="n">
        <v>20</v>
      </c>
      <c r="I54" s="6">
        <f>IF(H54="","",H54/G54)</f>
        <v/>
      </c>
      <c r="J54" s="5" t="n">
        <v>600</v>
      </c>
      <c r="K54" s="5" t="n">
        <v>2000</v>
      </c>
      <c r="L54" s="10">
        <f>IF(J54="","",J54/K54)</f>
        <v/>
      </c>
      <c r="M54" s="5" t="n">
        <v>2125</v>
      </c>
      <c r="N54" s="6" t="n">
        <v>0.35</v>
      </c>
      <c r="O54" s="5" t="n">
        <v>2500</v>
      </c>
      <c r="P54" s="6" t="n">
        <v>0.3</v>
      </c>
    </row>
    <row r="55" ht="22" customHeight="1" s="8">
      <c r="A55" s="2" t="inlineStr">
        <is>
          <t>P050</t>
        </is>
      </c>
      <c r="B55" s="2" t="inlineStr">
        <is>
          <t>L-i60d0.2s0.45</t>
        </is>
      </c>
      <c r="C55" s="3" t="inlineStr">
        <is>
          <t>三参数全因子分析</t>
        </is>
      </c>
      <c r="D55" s="3" t="inlineStr">
        <is>
          <t>宽频正弦波</t>
        </is>
      </c>
      <c r="E55" s="9" t="n">
        <v>15</v>
      </c>
      <c r="F55" s="9" t="n">
        <v>60</v>
      </c>
      <c r="G55" s="5" t="n">
        <v>100</v>
      </c>
      <c r="H55" s="5" t="n">
        <v>20</v>
      </c>
      <c r="I55" s="6">
        <f>IF(H55="","",H55/G55)</f>
        <v/>
      </c>
      <c r="J55" s="5" t="n">
        <v>900</v>
      </c>
      <c r="K55" s="5" t="n">
        <v>2000</v>
      </c>
      <c r="L55" s="10">
        <f>IF(J55="","",J55/K55)</f>
        <v/>
      </c>
      <c r="M55" s="5" t="n">
        <v>2125</v>
      </c>
      <c r="N55" s="6" t="n">
        <v>0.35</v>
      </c>
      <c r="O55" s="5" t="n">
        <v>2500</v>
      </c>
      <c r="P55" s="6" t="n">
        <v>0.3</v>
      </c>
    </row>
    <row r="56" ht="22" customHeight="1" s="8">
      <c r="A56" s="2" t="inlineStr">
        <is>
          <t>P051</t>
        </is>
      </c>
      <c r="B56" s="2" t="inlineStr">
        <is>
          <t>L-i60d0.2s0.6</t>
        </is>
      </c>
      <c r="C56" s="3" t="inlineStr">
        <is>
          <t>三参数全因子分析</t>
        </is>
      </c>
      <c r="D56" s="3" t="inlineStr">
        <is>
          <t>宽频正弦波</t>
        </is>
      </c>
      <c r="E56" s="9" t="n">
        <v>15</v>
      </c>
      <c r="F56" s="9" t="n">
        <v>60</v>
      </c>
      <c r="G56" s="5" t="n">
        <v>100</v>
      </c>
      <c r="H56" s="5" t="n">
        <v>20</v>
      </c>
      <c r="I56" s="6">
        <f>IF(H56="","",H56/G56)</f>
        <v/>
      </c>
      <c r="J56" s="5" t="n">
        <v>1200</v>
      </c>
      <c r="K56" s="5" t="n">
        <v>2000</v>
      </c>
      <c r="L56" s="10">
        <f>IF(J56="","",J56/K56)</f>
        <v/>
      </c>
      <c r="M56" s="5" t="n">
        <v>2125</v>
      </c>
      <c r="N56" s="6" t="n">
        <v>0.35</v>
      </c>
      <c r="O56" s="5" t="n">
        <v>2500</v>
      </c>
      <c r="P56" s="6" t="n">
        <v>0.3</v>
      </c>
    </row>
    <row r="57" ht="22" customHeight="1" s="8">
      <c r="A57" s="2" t="inlineStr">
        <is>
          <t>P052</t>
        </is>
      </c>
      <c r="B57" s="2" t="inlineStr">
        <is>
          <t>L-i60d0.2s0.75</t>
        </is>
      </c>
      <c r="C57" s="3" t="inlineStr">
        <is>
          <t>三参数全因子分析</t>
        </is>
      </c>
      <c r="D57" s="3" t="inlineStr">
        <is>
          <t>宽频正弦波</t>
        </is>
      </c>
      <c r="E57" s="9" t="n">
        <v>15</v>
      </c>
      <c r="F57" s="9" t="n">
        <v>60</v>
      </c>
      <c r="G57" s="5" t="n">
        <v>100</v>
      </c>
      <c r="H57" s="5" t="n">
        <v>20</v>
      </c>
      <c r="I57" s="6">
        <f>IF(H57="","",H57/G57)</f>
        <v/>
      </c>
      <c r="J57" s="5" t="n">
        <v>1500</v>
      </c>
      <c r="K57" s="5" t="n">
        <v>2000</v>
      </c>
      <c r="L57" s="10">
        <f>IF(J57="","",J57/K57)</f>
        <v/>
      </c>
      <c r="M57" s="5" t="n">
        <v>2125</v>
      </c>
      <c r="N57" s="6" t="n">
        <v>0.35</v>
      </c>
      <c r="O57" s="5" t="n">
        <v>2500</v>
      </c>
      <c r="P57" s="6" t="n">
        <v>0.3</v>
      </c>
    </row>
    <row r="58" ht="22" customHeight="1" s="8">
      <c r="A58" s="2" t="inlineStr">
        <is>
          <t>P053</t>
        </is>
      </c>
      <c r="B58" s="2" t="inlineStr">
        <is>
          <t>L-i60d0.6s0.3</t>
        </is>
      </c>
      <c r="C58" s="3" t="inlineStr">
        <is>
          <t>三参数全因子分析</t>
        </is>
      </c>
      <c r="D58" s="3" t="inlineStr">
        <is>
          <t>宽频正弦波</t>
        </is>
      </c>
      <c r="E58" s="9" t="n">
        <v>15</v>
      </c>
      <c r="F58" s="9" t="n">
        <v>60</v>
      </c>
      <c r="G58" s="5" t="n">
        <v>100</v>
      </c>
      <c r="H58" s="5" t="n">
        <v>60</v>
      </c>
      <c r="I58" s="6">
        <f>IF(H58="","",H58/G58)</f>
        <v/>
      </c>
      <c r="J58" s="5" t="n">
        <v>600</v>
      </c>
      <c r="K58" s="5" t="n">
        <v>2000</v>
      </c>
      <c r="L58" s="10">
        <f>IF(J58="","",J58/K58)</f>
        <v/>
      </c>
      <c r="M58" s="5" t="n">
        <v>2125</v>
      </c>
      <c r="N58" s="6" t="n">
        <v>0.35</v>
      </c>
      <c r="O58" s="5" t="n">
        <v>2500</v>
      </c>
      <c r="P58" s="6" t="n">
        <v>0.3</v>
      </c>
    </row>
    <row r="59" ht="22" customHeight="1" s="8">
      <c r="A59" s="2" t="inlineStr">
        <is>
          <t>P054</t>
        </is>
      </c>
      <c r="B59" s="2" t="inlineStr">
        <is>
          <t>L-i60d0.6s0.45</t>
        </is>
      </c>
      <c r="C59" s="3" t="inlineStr">
        <is>
          <t>三参数全因子分析</t>
        </is>
      </c>
      <c r="D59" s="3" t="inlineStr">
        <is>
          <t>宽频正弦波</t>
        </is>
      </c>
      <c r="E59" s="9" t="n">
        <v>15</v>
      </c>
      <c r="F59" s="9" t="n">
        <v>60</v>
      </c>
      <c r="G59" s="5" t="n">
        <v>100</v>
      </c>
      <c r="H59" s="5" t="n">
        <v>60</v>
      </c>
      <c r="I59" s="6">
        <f>IF(H59="","",H59/G59)</f>
        <v/>
      </c>
      <c r="J59" s="5" t="n">
        <v>900</v>
      </c>
      <c r="K59" s="5" t="n">
        <v>2000</v>
      </c>
      <c r="L59" s="10">
        <f>IF(J59="","",J59/K59)</f>
        <v/>
      </c>
      <c r="M59" s="5" t="n">
        <v>2125</v>
      </c>
      <c r="N59" s="6" t="n">
        <v>0.35</v>
      </c>
      <c r="O59" s="5" t="n">
        <v>2500</v>
      </c>
      <c r="P59" s="6" t="n">
        <v>0.3</v>
      </c>
    </row>
    <row r="60" ht="22" customHeight="1" s="8">
      <c r="A60" s="2" t="inlineStr">
        <is>
          <t>P055</t>
        </is>
      </c>
      <c r="B60" s="2" t="inlineStr">
        <is>
          <t>L-i60d0.6s0.6</t>
        </is>
      </c>
      <c r="C60" s="3" t="inlineStr">
        <is>
          <t>三参数全因子分析</t>
        </is>
      </c>
      <c r="D60" s="3" t="inlineStr">
        <is>
          <t>宽频正弦波</t>
        </is>
      </c>
      <c r="E60" s="9" t="n">
        <v>15</v>
      </c>
      <c r="F60" s="9" t="n">
        <v>60</v>
      </c>
      <c r="G60" s="5" t="n">
        <v>100</v>
      </c>
      <c r="H60" s="5" t="n">
        <v>60</v>
      </c>
      <c r="I60" s="6">
        <f>IF(H60="","",H60/G60)</f>
        <v/>
      </c>
      <c r="J60" s="5" t="n">
        <v>1200</v>
      </c>
      <c r="K60" s="5" t="n">
        <v>2000</v>
      </c>
      <c r="L60" s="10">
        <f>IF(J60="","",J60/K60)</f>
        <v/>
      </c>
      <c r="M60" s="5" t="n">
        <v>2125</v>
      </c>
      <c r="N60" s="6" t="n">
        <v>0.35</v>
      </c>
      <c r="O60" s="5" t="n">
        <v>2500</v>
      </c>
      <c r="P60" s="6" t="n">
        <v>0.3</v>
      </c>
    </row>
    <row r="61" ht="22" customHeight="1" s="8">
      <c r="A61" s="2" t="inlineStr">
        <is>
          <t>P056</t>
        </is>
      </c>
      <c r="B61" s="2" t="inlineStr">
        <is>
          <t>L-i60d0.6s0.75</t>
        </is>
      </c>
      <c r="C61" s="3" t="inlineStr">
        <is>
          <t>三参数全因子分析</t>
        </is>
      </c>
      <c r="D61" s="3" t="inlineStr">
        <is>
          <t>宽频正弦波</t>
        </is>
      </c>
      <c r="E61" s="9" t="n">
        <v>15</v>
      </c>
      <c r="F61" s="9" t="n">
        <v>60</v>
      </c>
      <c r="G61" s="5" t="n">
        <v>100</v>
      </c>
      <c r="H61" s="5" t="n">
        <v>60</v>
      </c>
      <c r="I61" s="6">
        <f>IF(H61="","",H61/G61)</f>
        <v/>
      </c>
      <c r="J61" s="5" t="n">
        <v>1500</v>
      </c>
      <c r="K61" s="5" t="n">
        <v>2000</v>
      </c>
      <c r="L61" s="10">
        <f>IF(J61="","",J61/K61)</f>
        <v/>
      </c>
      <c r="M61" s="5" t="n">
        <v>2125</v>
      </c>
      <c r="N61" s="6" t="n">
        <v>0.35</v>
      </c>
      <c r="O61" s="5" t="n">
        <v>2500</v>
      </c>
      <c r="P61" s="6" t="n">
        <v>0.3</v>
      </c>
    </row>
    <row r="62" ht="22" customHeight="1" s="8">
      <c r="A62" s="2" t="inlineStr">
        <is>
          <t>P057</t>
        </is>
      </c>
      <c r="B62" s="2" t="inlineStr">
        <is>
          <t>L-i60d1s0.3</t>
        </is>
      </c>
      <c r="C62" s="3" t="inlineStr">
        <is>
          <t>三参数全因子分析</t>
        </is>
      </c>
      <c r="D62" s="3" t="inlineStr">
        <is>
          <t>宽频正弦波</t>
        </is>
      </c>
      <c r="E62" s="9" t="n">
        <v>15</v>
      </c>
      <c r="F62" s="9" t="n">
        <v>60</v>
      </c>
      <c r="G62" s="5" t="n">
        <v>100</v>
      </c>
      <c r="H62" s="5" t="n">
        <v>100</v>
      </c>
      <c r="I62" s="6">
        <f>IF(H62="","",H62/G62)</f>
        <v/>
      </c>
      <c r="J62" s="5" t="n">
        <v>600</v>
      </c>
      <c r="K62" s="5" t="n">
        <v>2000</v>
      </c>
      <c r="L62" s="10">
        <f>IF(J62="","",J62/K62)</f>
        <v/>
      </c>
      <c r="M62" s="5" t="n">
        <v>2125</v>
      </c>
      <c r="N62" s="6" t="n">
        <v>0.35</v>
      </c>
      <c r="O62" s="5" t="n">
        <v>2500</v>
      </c>
      <c r="P62" s="6" t="n">
        <v>0.3</v>
      </c>
    </row>
    <row r="63" ht="22" customHeight="1" s="8">
      <c r="A63" s="2" t="inlineStr">
        <is>
          <t>P058</t>
        </is>
      </c>
      <c r="B63" s="2" t="inlineStr">
        <is>
          <t>L-i60d1s0.45</t>
        </is>
      </c>
      <c r="C63" s="3" t="inlineStr">
        <is>
          <t>三参数全因子分析</t>
        </is>
      </c>
      <c r="D63" s="3" t="inlineStr">
        <is>
          <t>宽频正弦波</t>
        </is>
      </c>
      <c r="E63" s="9" t="n">
        <v>15</v>
      </c>
      <c r="F63" s="9" t="n">
        <v>60</v>
      </c>
      <c r="G63" s="5" t="n">
        <v>100</v>
      </c>
      <c r="H63" s="5" t="n">
        <v>100</v>
      </c>
      <c r="I63" s="6">
        <f>IF(H63="","",H63/G63)</f>
        <v/>
      </c>
      <c r="J63" s="5" t="n">
        <v>900</v>
      </c>
      <c r="K63" s="5" t="n">
        <v>2000</v>
      </c>
      <c r="L63" s="10">
        <f>IF(J63="","",J63/K63)</f>
        <v/>
      </c>
      <c r="M63" s="5" t="n">
        <v>2125</v>
      </c>
      <c r="N63" s="6" t="n">
        <v>0.35</v>
      </c>
      <c r="O63" s="5" t="n">
        <v>2500</v>
      </c>
      <c r="P63" s="6" t="n">
        <v>0.3</v>
      </c>
    </row>
    <row r="64" ht="22" customHeight="1" s="8">
      <c r="A64" s="2" t="inlineStr">
        <is>
          <t>P059</t>
        </is>
      </c>
      <c r="B64" s="2" t="inlineStr">
        <is>
          <t>L-i60d1s0.6</t>
        </is>
      </c>
      <c r="C64" s="3" t="inlineStr">
        <is>
          <t>三参数全因子分析</t>
        </is>
      </c>
      <c r="D64" s="3" t="inlineStr">
        <is>
          <t>宽频正弦波</t>
        </is>
      </c>
      <c r="E64" s="9" t="n">
        <v>15</v>
      </c>
      <c r="F64" s="9" t="n">
        <v>60</v>
      </c>
      <c r="G64" s="5" t="n">
        <v>100</v>
      </c>
      <c r="H64" s="5" t="n">
        <v>100</v>
      </c>
      <c r="I64" s="6">
        <f>IF(H64="","",H64/G64)</f>
        <v/>
      </c>
      <c r="J64" s="5" t="n">
        <v>1200</v>
      </c>
      <c r="K64" s="5" t="n">
        <v>2000</v>
      </c>
      <c r="L64" s="10">
        <f>IF(J64="","",J64/K64)</f>
        <v/>
      </c>
      <c r="M64" s="5" t="n">
        <v>2125</v>
      </c>
      <c r="N64" s="6" t="n">
        <v>0.35</v>
      </c>
      <c r="O64" s="5" t="n">
        <v>2500</v>
      </c>
      <c r="P64" s="6" t="n">
        <v>0.3</v>
      </c>
    </row>
    <row r="65" ht="22" customHeight="1" s="8">
      <c r="A65" s="2" t="inlineStr">
        <is>
          <t>P060</t>
        </is>
      </c>
      <c r="B65" s="2" t="inlineStr">
        <is>
          <t>L-i60d1s0.75</t>
        </is>
      </c>
      <c r="C65" s="3" t="inlineStr">
        <is>
          <t>三参数全因子分析</t>
        </is>
      </c>
      <c r="D65" s="3" t="inlineStr">
        <is>
          <t>宽频正弦波</t>
        </is>
      </c>
      <c r="E65" s="9" t="n">
        <v>15</v>
      </c>
      <c r="F65" s="9" t="n">
        <v>60</v>
      </c>
      <c r="G65" s="5" t="n">
        <v>100</v>
      </c>
      <c r="H65" s="5" t="n">
        <v>100</v>
      </c>
      <c r="I65" s="6">
        <f>IF(H65="","",H65/G65)</f>
        <v/>
      </c>
      <c r="J65" s="5" t="n">
        <v>1500</v>
      </c>
      <c r="K65" s="5" t="n">
        <v>2000</v>
      </c>
      <c r="L65" s="10">
        <f>IF(J65="","",J65/K65)</f>
        <v/>
      </c>
      <c r="M65" s="5" t="n">
        <v>2125</v>
      </c>
      <c r="N65" s="6" t="n">
        <v>0.35</v>
      </c>
      <c r="O65" s="5" t="n">
        <v>2500</v>
      </c>
      <c r="P65" s="6" t="n">
        <v>0.3</v>
      </c>
    </row>
    <row r="66" ht="22" customHeight="1" s="8">
      <c r="A66" s="2" t="inlineStr">
        <is>
          <t>P061</t>
        </is>
      </c>
      <c r="B66" s="2" t="inlineStr">
        <is>
          <t>L-i60d1.4s0.3</t>
        </is>
      </c>
      <c r="C66" s="3" t="inlineStr">
        <is>
          <t>三参数全因子分析</t>
        </is>
      </c>
      <c r="D66" s="3" t="inlineStr">
        <is>
          <t>宽频正弦波</t>
        </is>
      </c>
      <c r="E66" s="9" t="n">
        <v>15</v>
      </c>
      <c r="F66" s="9" t="n">
        <v>60</v>
      </c>
      <c r="G66" s="5" t="n">
        <v>100</v>
      </c>
      <c r="H66" s="5" t="n">
        <v>140</v>
      </c>
      <c r="I66" s="6">
        <f>IF(H66="","",H66/G66)</f>
        <v/>
      </c>
      <c r="J66" s="5" t="n">
        <v>600</v>
      </c>
      <c r="K66" s="5" t="n">
        <v>2000</v>
      </c>
      <c r="L66" s="10">
        <f>IF(J66="","",J66/K66)</f>
        <v/>
      </c>
      <c r="M66" s="5" t="n">
        <v>2125</v>
      </c>
      <c r="N66" s="6" t="n">
        <v>0.35</v>
      </c>
      <c r="O66" s="5" t="n">
        <v>2500</v>
      </c>
      <c r="P66" s="6" t="n">
        <v>0.3</v>
      </c>
    </row>
    <row r="67" ht="22" customHeight="1" s="8">
      <c r="A67" s="2" t="inlineStr">
        <is>
          <t>P062</t>
        </is>
      </c>
      <c r="B67" s="2" t="inlineStr">
        <is>
          <t>L-i60d1.4s0.45</t>
        </is>
      </c>
      <c r="C67" s="3" t="inlineStr">
        <is>
          <t>三参数全因子分析</t>
        </is>
      </c>
      <c r="D67" s="3" t="inlineStr">
        <is>
          <t>宽频正弦波</t>
        </is>
      </c>
      <c r="E67" s="9" t="n">
        <v>15</v>
      </c>
      <c r="F67" s="9" t="n">
        <v>60</v>
      </c>
      <c r="G67" s="5" t="n">
        <v>100</v>
      </c>
      <c r="H67" s="5" t="n">
        <v>140</v>
      </c>
      <c r="I67" s="6">
        <f>IF(H67="","",H67/G67)</f>
        <v/>
      </c>
      <c r="J67" s="5" t="n">
        <v>900</v>
      </c>
      <c r="K67" s="5" t="n">
        <v>2000</v>
      </c>
      <c r="L67" s="10">
        <f>IF(J67="","",J67/K67)</f>
        <v/>
      </c>
      <c r="M67" s="5" t="n">
        <v>2125</v>
      </c>
      <c r="N67" s="6" t="n">
        <v>0.35</v>
      </c>
      <c r="O67" s="5" t="n">
        <v>2500</v>
      </c>
      <c r="P67" s="6" t="n">
        <v>0.3</v>
      </c>
    </row>
    <row r="68" ht="22" customHeight="1" s="8">
      <c r="A68" s="2" t="inlineStr">
        <is>
          <t>P063</t>
        </is>
      </c>
      <c r="B68" s="2" t="inlineStr">
        <is>
          <t>L-i60d1.4s0.6</t>
        </is>
      </c>
      <c r="C68" s="3" t="inlineStr">
        <is>
          <t>三参数全因子分析</t>
        </is>
      </c>
      <c r="D68" s="3" t="inlineStr">
        <is>
          <t>宽频正弦波</t>
        </is>
      </c>
      <c r="E68" s="9" t="n">
        <v>15</v>
      </c>
      <c r="F68" s="9" t="n">
        <v>60</v>
      </c>
      <c r="G68" s="5" t="n">
        <v>100</v>
      </c>
      <c r="H68" s="5" t="n">
        <v>140</v>
      </c>
      <c r="I68" s="6">
        <f>IF(H68="","",H68/G68)</f>
        <v/>
      </c>
      <c r="J68" s="5" t="n">
        <v>1200</v>
      </c>
      <c r="K68" s="5" t="n">
        <v>2000</v>
      </c>
      <c r="L68" s="10">
        <f>IF(J68="","",J68/K68)</f>
        <v/>
      </c>
      <c r="M68" s="5" t="n">
        <v>2125</v>
      </c>
      <c r="N68" s="6" t="n">
        <v>0.35</v>
      </c>
      <c r="O68" s="5" t="n">
        <v>2500</v>
      </c>
      <c r="P68" s="6" t="n">
        <v>0.3</v>
      </c>
    </row>
    <row r="69" ht="22" customHeight="1" s="8">
      <c r="A69" s="2" t="inlineStr">
        <is>
          <t>P064</t>
        </is>
      </c>
      <c r="B69" s="2" t="inlineStr">
        <is>
          <t>L-i60d1.4s0.75</t>
        </is>
      </c>
      <c r="C69" s="3" t="inlineStr">
        <is>
          <t>三参数全因子分析</t>
        </is>
      </c>
      <c r="D69" s="3" t="inlineStr">
        <is>
          <t>宽频正弦波</t>
        </is>
      </c>
      <c r="E69" s="9" t="n">
        <v>15</v>
      </c>
      <c r="F69" s="9" t="n">
        <v>60</v>
      </c>
      <c r="G69" s="5" t="n">
        <v>100</v>
      </c>
      <c r="H69" s="5" t="n">
        <v>140</v>
      </c>
      <c r="I69" s="6">
        <f>IF(H69="","",H69/G69)</f>
        <v/>
      </c>
      <c r="J69" s="5" t="n">
        <v>1500</v>
      </c>
      <c r="K69" s="5" t="n">
        <v>2000</v>
      </c>
      <c r="L69" s="10">
        <f>IF(J69="","",J69/K69)</f>
        <v/>
      </c>
      <c r="M69" s="5" t="n">
        <v>2125</v>
      </c>
      <c r="N69" s="6" t="n">
        <v>0.35</v>
      </c>
      <c r="O69" s="5" t="n">
        <v>2500</v>
      </c>
      <c r="P69" s="6" t="n">
        <v>0.3</v>
      </c>
    </row>
    <row r="70" ht="22" customHeight="1" s="8">
      <c r="A70" s="2" t="inlineStr">
        <is>
          <t>B001</t>
        </is>
      </c>
      <c r="B70" s="2" t="inlineStr">
        <is>
          <t>T-i22.5d0.4s0.375</t>
        </is>
      </c>
      <c r="C70" s="2" t="inlineStr">
        <is>
          <t>训练外参数组合</t>
        </is>
      </c>
      <c r="D70" s="3" t="inlineStr">
        <is>
          <t>宽频正弦波</t>
        </is>
      </c>
      <c r="E70" s="9" t="n">
        <v>15</v>
      </c>
      <c r="F70" s="9" t="n">
        <v>22.5</v>
      </c>
      <c r="G70" s="5" t="n">
        <v>100</v>
      </c>
      <c r="H70" s="5" t="n">
        <v>40</v>
      </c>
      <c r="I70" s="6">
        <f>IF(H70="","",H70/G70)</f>
        <v/>
      </c>
      <c r="J70" s="5" t="n">
        <v>750</v>
      </c>
      <c r="K70" s="5" t="n">
        <v>2000</v>
      </c>
      <c r="L70" s="10">
        <f>IF(J70="","",J70/K70)</f>
        <v/>
      </c>
      <c r="M70" s="5" t="n">
        <v>2125</v>
      </c>
      <c r="N70" s="6" t="n">
        <v>0.35</v>
      </c>
      <c r="O70" s="5" t="n">
        <v>2500</v>
      </c>
      <c r="P70" s="6" t="n">
        <v>0.3</v>
      </c>
    </row>
    <row r="71" ht="22" customHeight="1" s="8">
      <c r="A71" s="2" t="inlineStr">
        <is>
          <t>B002</t>
        </is>
      </c>
      <c r="B71" s="2" t="inlineStr">
        <is>
          <t>T-i22.5d0.4s0.675</t>
        </is>
      </c>
      <c r="C71" s="2" t="inlineStr">
        <is>
          <t>训练外参数组合</t>
        </is>
      </c>
      <c r="D71" s="3" t="inlineStr">
        <is>
          <t>宽频正弦波</t>
        </is>
      </c>
      <c r="E71" s="9" t="n">
        <v>15</v>
      </c>
      <c r="F71" s="9" t="n">
        <v>22.5</v>
      </c>
      <c r="G71" s="5" t="n">
        <v>100</v>
      </c>
      <c r="H71" s="5" t="n">
        <v>40</v>
      </c>
      <c r="I71" s="6">
        <f>IF(H71="","",H71/G71)</f>
        <v/>
      </c>
      <c r="J71" s="5" t="n">
        <v>1350</v>
      </c>
      <c r="K71" s="5" t="n">
        <v>2000</v>
      </c>
      <c r="L71" s="10">
        <f>IF(J71="","",J71/K71)</f>
        <v/>
      </c>
      <c r="M71" s="5" t="n">
        <v>2125</v>
      </c>
      <c r="N71" s="6" t="n">
        <v>0.35</v>
      </c>
      <c r="O71" s="5" t="n">
        <v>2500</v>
      </c>
      <c r="P71" s="6" t="n">
        <v>0.3</v>
      </c>
    </row>
    <row r="72" ht="22" customHeight="1" s="8">
      <c r="A72" s="2" t="inlineStr">
        <is>
          <t>B003</t>
        </is>
      </c>
      <c r="B72" s="2" t="inlineStr">
        <is>
          <t>T-i22.5d0.8s0.525</t>
        </is>
      </c>
      <c r="C72" s="2" t="inlineStr">
        <is>
          <t>训练外参数组合</t>
        </is>
      </c>
      <c r="D72" s="3" t="inlineStr">
        <is>
          <t>宽频正弦波</t>
        </is>
      </c>
      <c r="E72" s="9" t="n">
        <v>15</v>
      </c>
      <c r="F72" s="9" t="n">
        <v>22.5</v>
      </c>
      <c r="G72" s="5" t="n">
        <v>100</v>
      </c>
      <c r="H72" s="5" t="n">
        <v>80</v>
      </c>
      <c r="I72" s="6">
        <f>IF(H72="","",H72/G72)</f>
        <v/>
      </c>
      <c r="J72" s="5" t="n">
        <v>1050</v>
      </c>
      <c r="K72" s="5" t="n">
        <v>2000</v>
      </c>
      <c r="L72" s="10">
        <f>IF(J72="","",J72/K72)</f>
        <v/>
      </c>
      <c r="M72" s="5" t="n">
        <v>2125</v>
      </c>
      <c r="N72" s="6" t="n">
        <v>0.35</v>
      </c>
      <c r="O72" s="5" t="n">
        <v>2500</v>
      </c>
      <c r="P72" s="6" t="n">
        <v>0.3</v>
      </c>
    </row>
    <row r="73" ht="22" customHeight="1" s="8">
      <c r="A73" s="2" t="inlineStr">
        <is>
          <t>B004</t>
        </is>
      </c>
      <c r="B73" s="2" t="inlineStr">
        <is>
          <t>T-i22.5d1.2s0.375</t>
        </is>
      </c>
      <c r="C73" s="2" t="inlineStr">
        <is>
          <t>训练外参数组合</t>
        </is>
      </c>
      <c r="D73" s="3" t="inlineStr">
        <is>
          <t>宽频正弦波</t>
        </is>
      </c>
      <c r="E73" s="9" t="n">
        <v>15</v>
      </c>
      <c r="F73" s="9" t="n">
        <v>22.5</v>
      </c>
      <c r="G73" s="5" t="n">
        <v>100</v>
      </c>
      <c r="H73" s="5" t="n">
        <v>120</v>
      </c>
      <c r="I73" s="6">
        <f>IF(H73="","",H73/G73)</f>
        <v/>
      </c>
      <c r="J73" s="5" t="n">
        <v>750</v>
      </c>
      <c r="K73" s="5" t="n">
        <v>2000</v>
      </c>
      <c r="L73" s="10">
        <f>IF(J73="","",J73/K73)</f>
        <v/>
      </c>
      <c r="M73" s="5" t="n">
        <v>2125</v>
      </c>
      <c r="N73" s="6" t="n">
        <v>0.35</v>
      </c>
      <c r="O73" s="5" t="n">
        <v>2500</v>
      </c>
      <c r="P73" s="6" t="n">
        <v>0.3</v>
      </c>
    </row>
    <row r="74" ht="22" customHeight="1" s="8">
      <c r="A74" s="2" t="inlineStr">
        <is>
          <t>B005</t>
        </is>
      </c>
      <c r="B74" s="2" t="inlineStr">
        <is>
          <t>T-i37.5d0.4s0.525</t>
        </is>
      </c>
      <c r="C74" s="2" t="inlineStr">
        <is>
          <t>训练外参数组合</t>
        </is>
      </c>
      <c r="D74" s="3" t="inlineStr">
        <is>
          <t>宽频正弦波</t>
        </is>
      </c>
      <c r="E74" s="9" t="n">
        <v>15</v>
      </c>
      <c r="F74" s="9" t="n">
        <v>37.5</v>
      </c>
      <c r="G74" s="5" t="n">
        <v>100</v>
      </c>
      <c r="H74" s="5" t="n">
        <v>40</v>
      </c>
      <c r="I74" s="6">
        <f>IF(H74="","",H74/G74)</f>
        <v/>
      </c>
      <c r="J74" s="5" t="n">
        <v>1050</v>
      </c>
      <c r="K74" s="5" t="n">
        <v>2000</v>
      </c>
      <c r="L74" s="10">
        <f>IF(J74="","",J74/K74)</f>
        <v/>
      </c>
      <c r="M74" s="5" t="n">
        <v>2125</v>
      </c>
      <c r="N74" s="6" t="n">
        <v>0.35</v>
      </c>
      <c r="O74" s="5" t="n">
        <v>2500</v>
      </c>
      <c r="P74" s="6" t="n">
        <v>0.3</v>
      </c>
    </row>
    <row r="75" ht="22" customHeight="1" s="8">
      <c r="A75" s="2" t="inlineStr">
        <is>
          <t>B006</t>
        </is>
      </c>
      <c r="B75" s="2" t="inlineStr">
        <is>
          <t>T-i37.5d0.8s0.375</t>
        </is>
      </c>
      <c r="C75" s="2" t="inlineStr">
        <is>
          <t>训练外参数组合</t>
        </is>
      </c>
      <c r="D75" s="3" t="inlineStr">
        <is>
          <t>宽频正弦波</t>
        </is>
      </c>
      <c r="E75" s="9" t="n">
        <v>15</v>
      </c>
      <c r="F75" s="9" t="n">
        <v>37.5</v>
      </c>
      <c r="G75" s="5" t="n">
        <v>100</v>
      </c>
      <c r="H75" s="5" t="n">
        <v>80</v>
      </c>
      <c r="I75" s="6">
        <f>IF(H75="","",H75/G75)</f>
        <v/>
      </c>
      <c r="J75" s="5" t="n">
        <v>750</v>
      </c>
      <c r="K75" s="5" t="n">
        <v>2000</v>
      </c>
      <c r="L75" s="10">
        <f>IF(J75="","",J75/K75)</f>
        <v/>
      </c>
      <c r="M75" s="5" t="n">
        <v>2125</v>
      </c>
      <c r="N75" s="6" t="n">
        <v>0.35</v>
      </c>
      <c r="O75" s="5" t="n">
        <v>2500</v>
      </c>
      <c r="P75" s="6" t="n">
        <v>0.3</v>
      </c>
    </row>
    <row r="76" ht="22" customHeight="1" s="8">
      <c r="A76" s="2" t="inlineStr">
        <is>
          <t>B007</t>
        </is>
      </c>
      <c r="B76" s="2" t="inlineStr">
        <is>
          <t>T-i37.5d0.8s0.675</t>
        </is>
      </c>
      <c r="C76" s="2" t="inlineStr">
        <is>
          <t>训练外参数组合</t>
        </is>
      </c>
      <c r="D76" s="3" t="inlineStr">
        <is>
          <t>宽频正弦波</t>
        </is>
      </c>
      <c r="E76" s="9" t="n">
        <v>15</v>
      </c>
      <c r="F76" s="9" t="n">
        <v>37.5</v>
      </c>
      <c r="G76" s="5" t="n">
        <v>100</v>
      </c>
      <c r="H76" s="5" t="n">
        <v>80</v>
      </c>
      <c r="I76" s="6">
        <f>IF(H76="","",H76/G76)</f>
        <v/>
      </c>
      <c r="J76" s="5" t="n">
        <v>1350</v>
      </c>
      <c r="K76" s="5" t="n">
        <v>2000</v>
      </c>
      <c r="L76" s="10">
        <f>IF(J76="","",J76/K76)</f>
        <v/>
      </c>
      <c r="M76" s="5" t="n">
        <v>2125</v>
      </c>
      <c r="N76" s="6" t="n">
        <v>0.35</v>
      </c>
      <c r="O76" s="5" t="n">
        <v>2500</v>
      </c>
      <c r="P76" s="6" t="n">
        <v>0.3</v>
      </c>
    </row>
    <row r="77" ht="22" customHeight="1" s="8">
      <c r="A77" s="2" t="inlineStr">
        <is>
          <t>B008</t>
        </is>
      </c>
      <c r="B77" s="2" t="inlineStr">
        <is>
          <t>T-i37.5d1.2s0.525</t>
        </is>
      </c>
      <c r="C77" s="2" t="inlineStr">
        <is>
          <t>训练外参数组合</t>
        </is>
      </c>
      <c r="D77" s="3" t="inlineStr">
        <is>
          <t>宽频正弦波</t>
        </is>
      </c>
      <c r="E77" s="9" t="n">
        <v>15</v>
      </c>
      <c r="F77" s="9" t="n">
        <v>37.5</v>
      </c>
      <c r="G77" s="5" t="n">
        <v>100</v>
      </c>
      <c r="H77" s="5" t="n">
        <v>120</v>
      </c>
      <c r="I77" s="6">
        <f>IF(H77="","",H77/G77)</f>
        <v/>
      </c>
      <c r="J77" s="5" t="n">
        <v>1050</v>
      </c>
      <c r="K77" s="5" t="n">
        <v>2000</v>
      </c>
      <c r="L77" s="10">
        <f>IF(J77="","",J77/K77)</f>
        <v/>
      </c>
      <c r="M77" s="5" t="n">
        <v>2125</v>
      </c>
      <c r="N77" s="6" t="n">
        <v>0.35</v>
      </c>
      <c r="O77" s="5" t="n">
        <v>2500</v>
      </c>
      <c r="P77" s="6" t="n">
        <v>0.3</v>
      </c>
    </row>
    <row r="78" ht="22" customHeight="1" s="8">
      <c r="A78" s="2" t="inlineStr">
        <is>
          <t>B009</t>
        </is>
      </c>
      <c r="B78" s="2" t="inlineStr">
        <is>
          <t>T-i52.5d0.4s0.675</t>
        </is>
      </c>
      <c r="C78" s="2" t="inlineStr">
        <is>
          <t>训练外参数组合</t>
        </is>
      </c>
      <c r="D78" s="3" t="inlineStr">
        <is>
          <t>宽频正弦波</t>
        </is>
      </c>
      <c r="E78" s="9" t="n">
        <v>15</v>
      </c>
      <c r="F78" s="9" t="n">
        <v>52.5</v>
      </c>
      <c r="G78" s="5" t="n">
        <v>100</v>
      </c>
      <c r="H78" s="5" t="n">
        <v>40</v>
      </c>
      <c r="I78" s="6">
        <f>IF(H78="","",H78/G78)</f>
        <v/>
      </c>
      <c r="J78" s="5" t="n">
        <v>1350</v>
      </c>
      <c r="K78" s="5" t="n">
        <v>2000</v>
      </c>
      <c r="L78" s="10">
        <f>IF(J78="","",J78/K78)</f>
        <v/>
      </c>
      <c r="M78" s="5" t="n">
        <v>2125</v>
      </c>
      <c r="N78" s="6" t="n">
        <v>0.35</v>
      </c>
      <c r="O78" s="5" t="n">
        <v>2500</v>
      </c>
      <c r="P78" s="6" t="n">
        <v>0.3</v>
      </c>
    </row>
    <row r="79" ht="22" customHeight="1" s="8">
      <c r="A79" s="2" t="inlineStr">
        <is>
          <t>B010</t>
        </is>
      </c>
      <c r="B79" s="2" t="inlineStr">
        <is>
          <t>T-i52.5d0.8s0.525</t>
        </is>
      </c>
      <c r="C79" s="2" t="inlineStr">
        <is>
          <t>训练外参数组合</t>
        </is>
      </c>
      <c r="D79" s="3" t="inlineStr">
        <is>
          <t>宽频正弦波</t>
        </is>
      </c>
      <c r="E79" s="9" t="n">
        <v>15</v>
      </c>
      <c r="F79" s="9" t="n">
        <v>52.5</v>
      </c>
      <c r="G79" s="5" t="n">
        <v>100</v>
      </c>
      <c r="H79" s="5" t="n">
        <v>80</v>
      </c>
      <c r="I79" s="6">
        <f>IF(H79="","",H79/G79)</f>
        <v/>
      </c>
      <c r="J79" s="5" t="n">
        <v>1050</v>
      </c>
      <c r="K79" s="5" t="n">
        <v>2000</v>
      </c>
      <c r="L79" s="10">
        <f>IF(J79="","",J79/K79)</f>
        <v/>
      </c>
      <c r="M79" s="5" t="n">
        <v>2125</v>
      </c>
      <c r="N79" s="6" t="n">
        <v>0.35</v>
      </c>
      <c r="O79" s="5" t="n">
        <v>2500</v>
      </c>
      <c r="P79" s="6" t="n">
        <v>0.3</v>
      </c>
    </row>
    <row r="80" ht="22" customHeight="1" s="8">
      <c r="A80" s="2" t="inlineStr">
        <is>
          <t>B011</t>
        </is>
      </c>
      <c r="B80" s="2" t="inlineStr">
        <is>
          <t>T-i52.5d1.2s0.375</t>
        </is>
      </c>
      <c r="C80" s="2" t="inlineStr">
        <is>
          <t>训练外参数组合</t>
        </is>
      </c>
      <c r="D80" s="3" t="inlineStr">
        <is>
          <t>宽频正弦波</t>
        </is>
      </c>
      <c r="E80" s="9" t="n">
        <v>15</v>
      </c>
      <c r="F80" s="9" t="n">
        <v>52.5</v>
      </c>
      <c r="G80" s="5" t="n">
        <v>100</v>
      </c>
      <c r="H80" s="5" t="n">
        <v>120</v>
      </c>
      <c r="I80" s="6">
        <f>IF(H80="","",H80/G80)</f>
        <v/>
      </c>
      <c r="J80" s="5" t="n">
        <v>750</v>
      </c>
      <c r="K80" s="5" t="n">
        <v>2000</v>
      </c>
      <c r="L80" s="10">
        <f>IF(J80="","",J80/K80)</f>
        <v/>
      </c>
      <c r="M80" s="5" t="n">
        <v>2125</v>
      </c>
      <c r="N80" s="6" t="n">
        <v>0.35</v>
      </c>
      <c r="O80" s="5" t="n">
        <v>2500</v>
      </c>
      <c r="P80" s="6" t="n">
        <v>0.3</v>
      </c>
    </row>
    <row r="81" ht="22" customHeight="1" s="8">
      <c r="A81" s="2" t="inlineStr">
        <is>
          <t>B012</t>
        </is>
      </c>
      <c r="B81" s="2" t="inlineStr">
        <is>
          <t>T-i52.5d1.2s0.675</t>
        </is>
      </c>
      <c r="C81" s="2" t="inlineStr">
        <is>
          <t>训练外参数组合</t>
        </is>
      </c>
      <c r="D81" s="3" t="inlineStr">
        <is>
          <t>宽频正弦波</t>
        </is>
      </c>
      <c r="E81" s="9" t="n">
        <v>15</v>
      </c>
      <c r="F81" s="9" t="n">
        <v>52.5</v>
      </c>
      <c r="G81" s="5" t="n">
        <v>100</v>
      </c>
      <c r="H81" s="5" t="n">
        <v>120</v>
      </c>
      <c r="I81" s="6">
        <f>IF(H81="","",H81/G81)</f>
        <v/>
      </c>
      <c r="J81" s="5" t="n">
        <v>1350</v>
      </c>
      <c r="K81" s="5" t="n">
        <v>2000</v>
      </c>
      <c r="L81" s="10">
        <f>IF(J81="","",J81/K81)</f>
        <v/>
      </c>
      <c r="M81" s="5" t="n">
        <v>2125</v>
      </c>
      <c r="N81" s="6" t="n">
        <v>0.35</v>
      </c>
      <c r="O81" s="5" t="n">
        <v>2500</v>
      </c>
      <c r="P81" s="6" t="n">
        <v>0.3</v>
      </c>
    </row>
    <row r="82" ht="22" customHeight="1" s="8">
      <c r="A82" s="2" t="inlineStr">
        <is>
          <t>C001</t>
        </is>
      </c>
      <c r="B82" s="2" t="inlineStr">
        <is>
          <t>V-i15d0.6s0.45-1</t>
        </is>
      </c>
      <c r="C82" s="2" t="inlineStr">
        <is>
          <t>真实地震记录</t>
        </is>
      </c>
      <c r="D82" s="2" t="inlineStr">
        <is>
          <t>El Centro</t>
        </is>
      </c>
      <c r="E82" s="9" t="n">
        <v>15</v>
      </c>
      <c r="F82" s="9" t="n">
        <v>15</v>
      </c>
      <c r="G82" s="5" t="n">
        <v>100</v>
      </c>
      <c r="H82" s="5" t="n">
        <v>60</v>
      </c>
      <c r="I82" s="6">
        <f>IF(H82="","",H82/G82)</f>
        <v/>
      </c>
      <c r="J82" s="5" t="n">
        <v>900</v>
      </c>
      <c r="K82" s="5" t="n">
        <v>2000</v>
      </c>
      <c r="L82" s="10">
        <f>IF(J82="","",J82/K82)</f>
        <v/>
      </c>
      <c r="M82" s="5" t="n">
        <v>2125</v>
      </c>
      <c r="N82" s="6" t="n">
        <v>0.35</v>
      </c>
      <c r="O82" s="5" t="n">
        <v>2500</v>
      </c>
      <c r="P82" s="6" t="n">
        <v>0.3</v>
      </c>
    </row>
    <row r="83" ht="22" customHeight="1" s="8">
      <c r="A83" s="2" t="inlineStr">
        <is>
          <t>C002</t>
        </is>
      </c>
      <c r="B83" s="2" t="inlineStr">
        <is>
          <t>V-i15d0.6s0.45-2</t>
        </is>
      </c>
      <c r="C83" s="2" t="inlineStr">
        <is>
          <t>真实地震记录</t>
        </is>
      </c>
      <c r="D83" s="2" t="inlineStr">
        <is>
          <t>Kobe</t>
        </is>
      </c>
      <c r="E83" s="9" t="n">
        <v>15</v>
      </c>
      <c r="F83" s="9" t="n">
        <v>15</v>
      </c>
      <c r="G83" s="5" t="n">
        <v>100</v>
      </c>
      <c r="H83" s="5" t="n">
        <v>60</v>
      </c>
      <c r="I83" s="6">
        <f>IF(H83="","",H83/G83)</f>
        <v/>
      </c>
      <c r="J83" s="5" t="n">
        <v>900</v>
      </c>
      <c r="K83" s="5" t="n">
        <v>2000</v>
      </c>
      <c r="L83" s="10">
        <f>IF(J83="","",J83/K83)</f>
        <v/>
      </c>
      <c r="M83" s="5" t="n">
        <v>2125</v>
      </c>
      <c r="N83" s="6" t="n">
        <v>0.35</v>
      </c>
      <c r="O83" s="5" t="n">
        <v>2500</v>
      </c>
      <c r="P83" s="6" t="n">
        <v>0.3</v>
      </c>
    </row>
    <row r="84" ht="22" customHeight="1" s="8">
      <c r="A84" s="2" t="inlineStr">
        <is>
          <t>C003</t>
        </is>
      </c>
      <c r="B84" s="2" t="inlineStr">
        <is>
          <t>V-i45d0.6s0.6-1</t>
        </is>
      </c>
      <c r="C84" s="2" t="inlineStr">
        <is>
          <t>真实地震记录</t>
        </is>
      </c>
      <c r="D84" s="2" t="inlineStr">
        <is>
          <t>El Centro</t>
        </is>
      </c>
      <c r="E84" s="9" t="n">
        <v>15</v>
      </c>
      <c r="F84" s="9" t="n">
        <v>45</v>
      </c>
      <c r="G84" s="5" t="n">
        <v>100</v>
      </c>
      <c r="H84" s="5" t="n">
        <v>60</v>
      </c>
      <c r="I84" s="6">
        <f>IF(H84="","",H84/G84)</f>
        <v/>
      </c>
      <c r="J84" s="5" t="n">
        <v>1200</v>
      </c>
      <c r="K84" s="5" t="n">
        <v>2000</v>
      </c>
      <c r="L84" s="10">
        <f>IF(J84="","",J84/K84)</f>
        <v/>
      </c>
      <c r="M84" s="5" t="n">
        <v>2125</v>
      </c>
      <c r="N84" s="6" t="n">
        <v>0.35</v>
      </c>
      <c r="O84" s="5" t="n">
        <v>2500</v>
      </c>
      <c r="P84" s="6" t="n">
        <v>0.3</v>
      </c>
    </row>
    <row r="85" ht="22" customHeight="1" s="8">
      <c r="A85" s="2" t="inlineStr">
        <is>
          <t>C004</t>
        </is>
      </c>
      <c r="B85" s="2" t="inlineStr">
        <is>
          <t>V-i45d0.6s0.6-2</t>
        </is>
      </c>
      <c r="C85" s="2" t="inlineStr">
        <is>
          <t>真实地震记录</t>
        </is>
      </c>
      <c r="D85" s="2" t="inlineStr">
        <is>
          <t>Kobe</t>
        </is>
      </c>
      <c r="E85" s="9" t="n">
        <v>15</v>
      </c>
      <c r="F85" s="9" t="n">
        <v>45</v>
      </c>
      <c r="G85" s="5" t="n">
        <v>100</v>
      </c>
      <c r="H85" s="5" t="n">
        <v>60</v>
      </c>
      <c r="I85" s="6">
        <f>IF(H85="","",H85/G85)</f>
        <v/>
      </c>
      <c r="J85" s="5" t="n">
        <v>1200</v>
      </c>
      <c r="K85" s="5" t="n">
        <v>2000</v>
      </c>
      <c r="L85" s="10">
        <f>IF(J85="","",J85/K85)</f>
        <v/>
      </c>
      <c r="M85" s="5" t="n">
        <v>2125</v>
      </c>
      <c r="N85" s="6" t="n">
        <v>0.35</v>
      </c>
      <c r="O85" s="5" t="n">
        <v>2500</v>
      </c>
      <c r="P85" s="6" t="n">
        <v>0.3</v>
      </c>
    </row>
    <row r="86" ht="22" customHeight="1" s="8">
      <c r="A86" s="2" t="inlineStr">
        <is>
          <t>C005</t>
        </is>
      </c>
      <c r="B86" s="2" t="inlineStr">
        <is>
          <t>V-i60d1.4s0.3-1</t>
        </is>
      </c>
      <c r="C86" s="2" t="inlineStr">
        <is>
          <t>真实地震记录</t>
        </is>
      </c>
      <c r="D86" s="2" t="inlineStr">
        <is>
          <t>El Centro</t>
        </is>
      </c>
      <c r="E86" s="9" t="n">
        <v>15</v>
      </c>
      <c r="F86" s="9" t="n">
        <v>60</v>
      </c>
      <c r="G86" s="5" t="n">
        <v>100</v>
      </c>
      <c r="H86" s="5" t="n">
        <v>140</v>
      </c>
      <c r="I86" s="6">
        <f>IF(H86="","",H86/G86)</f>
        <v/>
      </c>
      <c r="J86" s="5" t="n">
        <v>600</v>
      </c>
      <c r="K86" s="5" t="n">
        <v>2000</v>
      </c>
      <c r="L86" s="10">
        <f>IF(J86="","",J86/K86)</f>
        <v/>
      </c>
      <c r="M86" s="5" t="n">
        <v>2125</v>
      </c>
      <c r="N86" s="6" t="n">
        <v>0.35</v>
      </c>
      <c r="O86" s="5" t="n">
        <v>2500</v>
      </c>
      <c r="P86" s="6" t="n">
        <v>0.3</v>
      </c>
    </row>
    <row r="87" ht="22" customHeight="1" s="8">
      <c r="A87" s="2" t="inlineStr">
        <is>
          <t>C006</t>
        </is>
      </c>
      <c r="B87" s="2" t="inlineStr">
        <is>
          <t>V-i60d1.4s0.3-2</t>
        </is>
      </c>
      <c r="C87" s="2" t="inlineStr">
        <is>
          <t>真实地震记录</t>
        </is>
      </c>
      <c r="D87" s="2" t="inlineStr">
        <is>
          <t>Kobe</t>
        </is>
      </c>
      <c r="E87" s="9" t="n">
        <v>15</v>
      </c>
      <c r="F87" s="9" t="n">
        <v>60</v>
      </c>
      <c r="G87" s="5" t="n">
        <v>100</v>
      </c>
      <c r="H87" s="5" t="n">
        <v>140</v>
      </c>
      <c r="I87" s="6">
        <f>IF(H87="","",H87/G87)</f>
        <v/>
      </c>
      <c r="J87" s="5" t="n">
        <v>600</v>
      </c>
      <c r="K87" s="5" t="n">
        <v>2000</v>
      </c>
      <c r="L87" s="10">
        <f>IF(J87="","",J87/K87)</f>
        <v/>
      </c>
      <c r="M87" s="5" t="n">
        <v>2125</v>
      </c>
      <c r="N87" s="6" t="n">
        <v>0.35</v>
      </c>
      <c r="O87" s="5" t="n">
        <v>2500</v>
      </c>
      <c r="P87" s="6" t="n">
        <v>0.3</v>
      </c>
    </row>
    <row r="88" ht="22" customHeight="1" s="8">
      <c r="A88" s="2" t="inlineStr">
        <is>
          <t>C007</t>
        </is>
      </c>
      <c r="B88" s="2" t="inlineStr">
        <is>
          <t>V-i37.5d0.8s0.675-1</t>
        </is>
      </c>
      <c r="C88" s="2" t="inlineStr">
        <is>
          <t>真实地震记录</t>
        </is>
      </c>
      <c r="D88" s="2" t="inlineStr">
        <is>
          <t>El Centro</t>
        </is>
      </c>
      <c r="E88" s="9" t="n">
        <v>15</v>
      </c>
      <c r="F88" s="9" t="n">
        <v>37.5</v>
      </c>
      <c r="G88" s="5" t="n">
        <v>100</v>
      </c>
      <c r="H88" s="5" t="n">
        <v>80</v>
      </c>
      <c r="I88" s="6">
        <f>IF(H88="","",H88/G88)</f>
        <v/>
      </c>
      <c r="J88" s="5" t="n">
        <v>1350</v>
      </c>
      <c r="K88" s="5" t="n">
        <v>2000</v>
      </c>
      <c r="L88" s="10">
        <f>IF(J88="","",J88/K88)</f>
        <v/>
      </c>
      <c r="M88" s="5" t="n">
        <v>2125</v>
      </c>
      <c r="N88" s="6" t="n">
        <v>0.35</v>
      </c>
      <c r="O88" s="5" t="n">
        <v>2500</v>
      </c>
      <c r="P88" s="6" t="n">
        <v>0.3</v>
      </c>
    </row>
    <row r="89" ht="22" customHeight="1" s="8">
      <c r="A89" s="2" t="inlineStr">
        <is>
          <t>C008</t>
        </is>
      </c>
      <c r="B89" s="2" t="inlineStr">
        <is>
          <t>V-i37.5d0.8s0.675-2</t>
        </is>
      </c>
      <c r="C89" s="2" t="inlineStr">
        <is>
          <t>真实地震记录</t>
        </is>
      </c>
      <c r="D89" s="2" t="inlineStr">
        <is>
          <t>Kobe</t>
        </is>
      </c>
      <c r="E89" s="9" t="n">
        <v>15</v>
      </c>
      <c r="F89" s="9" t="n">
        <v>37.5</v>
      </c>
      <c r="G89" s="5" t="n">
        <v>100</v>
      </c>
      <c r="H89" s="5" t="n">
        <v>80</v>
      </c>
      <c r="I89" s="6">
        <f>IF(H89="","",H89/G89)</f>
        <v/>
      </c>
      <c r="J89" s="5" t="n">
        <v>1350</v>
      </c>
      <c r="K89" s="5" t="n">
        <v>2000</v>
      </c>
      <c r="L89" s="10">
        <f>IF(J89="","",J89/K89)</f>
        <v/>
      </c>
      <c r="M89" s="5" t="n">
        <v>2125</v>
      </c>
      <c r="N89" s="6" t="n">
        <v>0.35</v>
      </c>
      <c r="O89" s="5" t="n">
        <v>2500</v>
      </c>
      <c r="P89" s="6" t="n">
        <v>0.3</v>
      </c>
    </row>
    <row r="90" ht="22" customHeight="1" s="8">
      <c r="A90" s="2" t="inlineStr">
        <is>
          <t>C009</t>
        </is>
      </c>
      <c r="B90" s="2" t="inlineStr">
        <is>
          <t>V-i45d0.6s0.6-3</t>
        </is>
      </c>
      <c r="C90" s="2" t="inlineStr">
        <is>
          <t>真实地震记录</t>
        </is>
      </c>
      <c r="D90" s="2" t="inlineStr">
        <is>
          <t>Chi-Chi</t>
        </is>
      </c>
      <c r="E90" s="9" t="n">
        <v>15</v>
      </c>
      <c r="F90" s="9" t="n">
        <v>45</v>
      </c>
      <c r="G90" s="5" t="n">
        <v>100</v>
      </c>
      <c r="H90" s="5" t="n">
        <v>60</v>
      </c>
      <c r="I90" s="6">
        <f>IF(H90="","",H90/G90)</f>
        <v/>
      </c>
      <c r="J90" s="5" t="n">
        <v>1200</v>
      </c>
      <c r="K90" s="5" t="n">
        <v>2000</v>
      </c>
      <c r="L90" s="10">
        <f>IF(J90="","",J90/K90)</f>
        <v/>
      </c>
      <c r="M90" s="5" t="n">
        <v>2125</v>
      </c>
      <c r="N90" s="6" t="n">
        <v>0.35</v>
      </c>
      <c r="O90" s="5" t="n">
        <v>2500</v>
      </c>
      <c r="P90" s="6" t="n">
        <v>0.3</v>
      </c>
    </row>
    <row r="91" ht="22" customHeight="1" s="8">
      <c r="A91" s="2" t="inlineStr">
        <is>
          <t>C010</t>
        </is>
      </c>
      <c r="B91" s="2" t="inlineStr">
        <is>
          <t>V-i37.5d0.8s0.675-3</t>
        </is>
      </c>
      <c r="C91" s="2" t="inlineStr">
        <is>
          <t>真实地震记录</t>
        </is>
      </c>
      <c r="D91" s="2" t="inlineStr">
        <is>
          <t>Chi-Chi</t>
        </is>
      </c>
      <c r="E91" s="9" t="n">
        <v>15</v>
      </c>
      <c r="F91" s="9" t="n">
        <v>37.5</v>
      </c>
      <c r="G91" s="5" t="n">
        <v>100</v>
      </c>
      <c r="H91" s="5" t="n">
        <v>80</v>
      </c>
      <c r="I91" s="6">
        <f>IF(H91="","",H91/G91)</f>
        <v/>
      </c>
      <c r="J91" s="5" t="n">
        <v>1350</v>
      </c>
      <c r="K91" s="5" t="n">
        <v>2000</v>
      </c>
      <c r="L91" s="10">
        <f>IF(J91="","",J91/K91)</f>
        <v/>
      </c>
      <c r="M91" s="5" t="n">
        <v>2125</v>
      </c>
      <c r="N91" s="6" t="n">
        <v>0.35</v>
      </c>
      <c r="O91" s="5" t="n">
        <v>2500</v>
      </c>
      <c r="P91" s="6" t="n">
        <v>0.3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2026-09-02T08:34:12Z</dcterms:created>
  <dcterms:modified xmlns:dcterms="http://purl.org/dc/terms/" xmlns:xsi="http://www.w3.org/2001/XMLSchema-instance" xsi:type="dcterms:W3CDTF">2026-09-02T18:54:12Z</dcterms:modified>
  <cp:lastModifiedBy>傅宇轩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8FF072A8A0ED4E57B706570F49DA9DE6_13</vt:lpwstr>
  </property>
  <property name="KSOProductBuildVer" fmtid="{D5CDD505-2E9C-101B-9397-08002B2CF9AE}" pid="3">
    <vt:lpwstr xmlns:vt="http://schemas.openxmlformats.org/officeDocument/2006/docPropsVTypes">2052-12.1.0.28505</vt:lpwstr>
  </property>
  <property name="CalculationRule" fmtid="{D5CDD505-2E9C-101B-9397-08002B2CF9AE}" pid="4">
    <vt:i4 xmlns:vt="http://schemas.openxmlformats.org/officeDocument/2006/docPropsVTypes">0</vt:i4>
  </property>
</Properties>
</file>